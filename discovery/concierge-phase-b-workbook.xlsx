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Οδηγίες" sheetId="1" state="visible" r:id="rId1"/>
    <sheet xmlns:r="http://schemas.openxmlformats.org/officeDocument/2006/relationships" name="Πρόσκληση" sheetId="2" state="visible" r:id="rId2"/>
    <sheet xmlns:r="http://schemas.openxmlformats.org/officeDocument/2006/relationships" name="Δρομολόγια" sheetId="3" state="visible" r:id="rId3"/>
    <sheet xmlns:r="http://schemas.openxmlformats.org/officeDocument/2006/relationships" name="Πλέγμα" sheetId="4" state="visible" r:id="rId4"/>
    <sheet xmlns:r="http://schemas.openxmlformats.org/officeDocument/2006/relationships" name="Προσφορά" sheetId="5" state="visible" r:id="rId5"/>
    <sheet xmlns:r="http://schemas.openxmlformats.org/officeDocument/2006/relationships" name="Έγγραφα" sheetId="6" state="visible" r:id="rId6"/>
  </sheets>
  <definedNames>
    <definedName name="client_code">'Πρόσκληση'!$B$4</definedName>
    <definedName name="invitation_ref">'Πρόσκληση'!$B$5</definedName>
    <definedName name="inv_date">'Πρόσκληση'!$B$6</definedName>
    <definedName name="deadline">'Πρόσκληση'!$B$7</definedName>
    <definedName name="unsealing">'Πρόσκληση'!$B$8</definedName>
    <definedName name="years">'Πρόσκληση'!$B$9</definedName>
    <definedName name="sign_date">'Πρόσκληση'!$B$10</definedName>
    <definedName name="contract_end">'Πρόσκληση'!$B$11</definedName>
    <definedName name="award_docs_date">'Πρόσκληση'!$B$12</definedName>
    <definedName name="annex_label">'Πρόσκληση'!$B$13</definedName>
    <definedName name="offer_valid_until">'Πρόσκληση'!$B$16</definedName>
    <definedName name="guar_p_until">'Πρόσκληση'!$B$17</definedName>
    <definedName name="guar_g_until">'Πρόσκληση'!$B$18</definedName>
    <definedName name="gg_months">'Πρόσκληση'!$B$19</definedName>
    <definedName name="fuel_cons">'Πρόσκληση'!$B$22</definedName>
    <definedName name="fuel_price">'Πρόσκληση'!$B$23</definedName>
    <definedName name="wear">'Πρόσκληση'!$B$24</definedName>
    <definedName name="opp_rate">'Πρόσκληση'!$B$25</definedName>
    <definedName name="ins_year">'Πρόσκληση'!$B$26</definedName>
    <definedName name="bank_rate">'Πρόσκληση'!$B$27</definedName>
    <definedName name="bank_fee">'Πρόσκληση'!$B$28</definedName>
    <definedName name="paid_share">'Πρόσκληση'!$B$29</definedName>
    <definedName name="fuel_scn">'Πρόσκληση'!$B$30</definedName>
    <definedName name="ded_base">'Πρόσκληση'!$B$33</definedName>
    <definedName name="ded_rate">'Πρόσκληση'!$B$34</definedName>
    <definedName name="gp_rate">'Πρόσκληση'!$B$35</definedName>
    <definedName name="gg_rate">'Πρόσκληση'!$B$36</definedName>
    <definedName name="gp_months">'Πρόσκληση'!$B$37</definedName>
    <definedName name="inputs_ok">'Πρόσκληση'!$B$39</definedName>
    <definedName name="offer_lines">'Προσφορά'!$E$23</definedName>
    <definedName name="offer_errors">'Προσφορά'!$E$24</definedName>
    <definedName name="offer_guarantee_check">'Προσφορά'!$E$29</definedName>
    <definedName name="docs_offer_open">'Έγγραφα'!$D$3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dd/mm/yyyy"/>
    <numFmt numFmtId="165" formatCode="0.0"/>
    <numFmt numFmtId="166" formatCode="0.000 &quot;€&quot;"/>
    <numFmt numFmtId="167" formatCode="#,##0.00 &quot;€&quot;"/>
    <numFmt numFmtId="168" formatCode="0.0%"/>
    <numFmt numFmtId="169" formatCode="0.0000%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3" borderId="0" applyProtection="1" pivotButton="0" quotePrefix="0" xfId="0">
      <protection locked="0" hidden="0"/>
    </xf>
    <xf numFmtId="164" fontId="0" fillId="3" borderId="0" applyProtection="1" pivotButton="0" quotePrefix="0" xfId="0">
      <protection locked="0" hidden="0"/>
    </xf>
    <xf numFmtId="1" fontId="0" fillId="3" borderId="0" applyProtection="1" pivotButton="0" quotePrefix="0" xfId="0">
      <protection locked="0" hidden="0"/>
    </xf>
    <xf numFmtId="0" fontId="2" fillId="0" borderId="0" pivotButton="0" quotePrefix="0" xfId="0"/>
    <xf numFmtId="164" fontId="0" fillId="4" borderId="0" pivotButton="0" quotePrefix="0" xfId="0"/>
    <xf numFmtId="165" fontId="0" fillId="4" borderId="0" pivotButton="0" quotePrefix="0" xfId="0"/>
    <xf numFmtId="165" fontId="0" fillId="3" borderId="0" applyProtection="1" pivotButton="0" quotePrefix="0" xfId="0">
      <protection locked="0" hidden="0"/>
    </xf>
    <xf numFmtId="166" fontId="0" fillId="3" borderId="0" applyProtection="1" pivotButton="0" quotePrefix="0" xfId="0">
      <protection locked="0" hidden="0"/>
    </xf>
    <xf numFmtId="167" fontId="0" fillId="3" borderId="0" applyProtection="1" pivotButton="0" quotePrefix="0" xfId="0">
      <protection locked="0" hidden="0"/>
    </xf>
    <xf numFmtId="168" fontId="0" fillId="3" borderId="0" applyProtection="1" pivotButton="0" quotePrefix="0" xfId="0">
      <protection locked="0" hidden="0"/>
    </xf>
    <xf numFmtId="10" fontId="0" fillId="4" borderId="0" pivotButton="0" quotePrefix="0" xfId="0"/>
    <xf numFmtId="169" fontId="0" fillId="4" borderId="0" pivotButton="0" quotePrefix="0" xfId="0"/>
    <xf numFmtId="168" fontId="0" fillId="4" borderId="0" pivotButton="0" quotePrefix="0" xfId="0"/>
    <xf numFmtId="1" fontId="0" fillId="4" borderId="0" pivotButton="0" quotePrefix="0" xfId="0"/>
    <xf numFmtId="0" fontId="0" fillId="4" borderId="0" pivotButton="0" quotePrefix="0" xfId="0"/>
    <xf numFmtId="167" fontId="0" fillId="4" borderId="0" pivotButton="0" quotePrefix="0" xfId="0"/>
    <xf numFmtId="0" fontId="0" fillId="4" borderId="0" applyAlignment="1" pivotButton="0" quotePrefix="0" xfId="0">
      <alignment vertical="top" wrapText="1"/>
    </xf>
    <xf numFmtId="0" fontId="2" fillId="4" borderId="0" pivotButton="0" quotePrefix="0" xfId="0"/>
  </cellXfs>
  <cellStyles count="1">
    <cellStyle name="Normal" xfId="0" builtinId="0" hidden="0"/>
  </cellStyles>
  <dxfs count="4">
    <dxf>
      <font>
        <b val="1"/>
        <color rgb="00C00000"/>
      </font>
    </dxf>
    <dxf>
      <fill>
        <patternFill patternType="solid">
          <fgColor rgb="00F8CBAD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Βήμα 4: Concierge Φάσης Β, ένα αρχείο ανά πελάτη και πρόσκληση</t>
        </is>
      </c>
    </row>
    <row r="2" ht="32" customHeight="1">
      <c r="A2" s="2" t="inlineStr">
        <is>
          <t>Οδηγός: discovery/concierge-phase-b-2026.md. Τύποι go/no-go: docs/plan.md §5. Κανόνες εγγράφων: tenders/pkm-meth-student-transport-dsa-2026/requirements.csv και sop.md (Φάση Β). Το § είναι ενότητα της διακήρυξης ΑΔΑ ΨΡΘ97ΛΛ-ΕΕΚ.</t>
        </is>
      </c>
    </row>
    <row r="3" ht="32" customHeight="1">
      <c r="A3" s="2" t="inlineStr">
        <is>
          <t>Αντίγραφο ανά πελάτη και πρόσκληση, σε χώρο με αποθήκευση στην ΕΕ, σύμβαση επεξεργασίας (DPA), MFA και χωρίς δημόσιους συνδέσμους. Όνομα αρχείου: κωδικός πελάτη και πρόσκληση, π.χ. Π01-πρόσκληση-3. Ποτέ στο git.</t>
        </is>
      </c>
    </row>
    <row r="4" ht="32" customHeight="1">
      <c r="A4" s="2" t="inlineStr">
        <is>
          <t>Κίτρινα κελιά: τα συμπληρώνεις. Γκρι: υπολογίζονται. Τα φύλλα Πρόσκληση, Δρομολόγια, Πλέγμα και Προσφορά είναι κλειδωμένα χωρίς κωδικό, για να μη σβηστεί τύπος κατά λάθος.</t>
        </is>
      </c>
    </row>
    <row r="5" ht="32" customHeight="1">
      <c r="A5" s="2" t="inlineStr">
        <is>
          <t>Σειρά: Πρόσκληση → Δρομολόγια (go/no-go και απόφαση του πελάτη) → Προσφορά (έλεγχος πριν την υποβολή) → Έγγραφα (φάκελος, προσωρινός ανάδοχος, σύμβαση).</t>
        </is>
      </c>
    </row>
    <row r="6" ht="32" customHeight="1">
      <c r="A6" s="2" t="inlineStr">
        <is>
          <t>Κενό κελί δεν είναι μηδέν. Όσο λείπει στοιχείο, τα αποτελέσματα γράφουν «λείπουν στοιχεία» ή UNKNOWN, και το UNKNOWN μετράει σαν NOT_SATISFIED.</t>
        </is>
      </c>
    </row>
    <row r="7" ht="32" customHeight="1">
      <c r="A7" s="2" t="inlineStr">
        <is>
          <t>Ο πίνακας δείχνει αριθμούς. Την έκπτωση την αποφασίζει ο πελάτης. Εμείς δεν πληκτρολογούμε ποτέ στο ΕΣΗΔΗΣ και δεν ζητάμε κωδικούς.</t>
        </is>
      </c>
    </row>
    <row r="8" ht="32" customHeight="1">
      <c r="A8" s="2" t="inlineStr">
        <is>
          <t>Ποτέ σε αυτό το αρχείο: ονόματα, ΑΦΜ, πινακίδες, κωδικοί πρόσβασης, αρχεία ή περιεχόμενο εγγράφων, στοιχεία υγείας ή ποινικού μητρώου. Μόνο κωδικός πελάτη, ποσά, ημερομηνίες και καταστάσεις.</t>
        </is>
      </c>
    </row>
    <row r="9" ht="32" customHeight="1">
      <c r="A9" s="2" t="inlineStr">
        <is>
          <t>Οι ημερομηνίες μετράνε αυστηρά (docs/architecture.md AD8): οι εργάσιμες μετράνε χωρίς αργίες και οι ισχύς ζητούνται λίγο μεγαλύτερες, άρα το φύλλο προειδοποιεί νωρίτερα, ποτέ αργότερα.</t>
        </is>
      </c>
    </row>
    <row r="10" ht="32" customHeight="1">
      <c r="A10" s="2" t="inlineStr">
        <is>
          <t>Πρότυπο της 24/09/2026. Αν μια πρόσκληση λέει κάτι άλλο από τη διακήρυξη, ισχύει η πρόσκληση: έλεγξε το φύλλο σε κάθε κύκλο.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90" customWidth="1" min="3" max="3"/>
  </cols>
  <sheetData>
    <row r="1">
      <c r="A1" s="3" t="inlineStr">
        <is>
          <t>Πρόσκληση και κόστη του πελάτη</t>
        </is>
      </c>
    </row>
    <row r="2">
      <c r="A2" t="inlineStr">
        <is>
          <t>Κίτρινα: τα συμπληρώνεις. Γκρι: υπολογίζονται ή είναι σταθερές της διακήρυξης.</t>
        </is>
      </c>
    </row>
    <row r="3" ht="20" customHeight="1">
      <c r="A3" s="4" t="inlineStr">
        <is>
          <t>Στοιχείο</t>
        </is>
      </c>
      <c r="B3" s="4" t="inlineStr">
        <is>
          <t>Τιμή</t>
        </is>
      </c>
      <c r="C3" s="4" t="inlineStr">
        <is>
          <t>Πηγή ή σημείωση</t>
        </is>
      </c>
    </row>
    <row r="4">
      <c r="A4" s="2" t="inlineStr">
        <is>
          <t>Κωδικός πελάτη</t>
        </is>
      </c>
      <c r="B4" s="5" t="n"/>
      <c r="C4" s="2" t="inlineStr">
        <is>
          <t>Π01, Π02, … Το κλειδί κωδικός → όνομα φυλάσσεται χωριστά</t>
        </is>
      </c>
    </row>
    <row r="5">
      <c r="A5" s="2" t="inlineStr">
        <is>
          <t>Πρόσκληση (αριθμός ή ΑΔΑΜ)</t>
        </is>
      </c>
      <c r="B5" s="5" t="n"/>
      <c r="C5" s="2" t="inlineStr"/>
    </row>
    <row r="6">
      <c r="A6" s="2" t="inlineStr">
        <is>
          <t>Ημερομηνία πρόσκλησης</t>
        </is>
      </c>
      <c r="B6" s="6" t="n"/>
      <c r="C6" s="2" t="inlineStr">
        <is>
          <t>Οι υπεύθυνες δηλώσεις υπογράφονται μετά από αυτήν (§4.3.1.1)</t>
        </is>
      </c>
    </row>
    <row r="7">
      <c r="A7" s="2" t="inlineStr">
        <is>
          <t>Προθεσμία υποβολής προσφορών</t>
        </is>
      </c>
      <c r="B7" s="6" t="n"/>
      <c r="C7" s="2" t="inlineStr">
        <is>
          <t>Από την πρόσκληση</t>
        </is>
      </c>
    </row>
    <row r="8">
      <c r="A8" s="2" t="inlineStr">
        <is>
          <t>Αποσφράγιση</t>
        </is>
      </c>
      <c r="B8" s="6" t="n"/>
      <c r="C8" s="2" t="inlineStr">
        <is>
          <t>Ως τότε φτάνει το πρωτότυπο της έντυπης εγγύησης (§4.3.1.2)</t>
        </is>
      </c>
    </row>
    <row r="9">
      <c r="A9" s="2" t="inlineStr">
        <is>
          <t>Σχολικά έτη της σύμβασης</t>
        </is>
      </c>
      <c r="B9" s="7" t="n"/>
      <c r="C9" s="2" t="inlineStr">
        <is>
          <t>Από την πρόσκληση, π.χ. 3 για 2026–27 έως 2028–29</t>
        </is>
      </c>
    </row>
    <row r="10">
      <c r="A10" s="2" t="inlineStr">
        <is>
          <t>Υπογραφή σύμβασης (εκτίμηση)</t>
        </is>
      </c>
      <c r="B10" s="6" t="n"/>
      <c r="C10" s="2" t="inlineStr">
        <is>
          <t>Για τους μήνες της εγγύησης καλής εκτέλεσης</t>
        </is>
      </c>
    </row>
    <row r="11">
      <c r="A11" s="2" t="inlineStr">
        <is>
          <t>Λήξη σύμβασης</t>
        </is>
      </c>
      <c r="B11" s="6" t="n"/>
      <c r="C11" s="2" t="inlineStr">
        <is>
          <t>Από την πρόσκληση (§7.2.1)</t>
        </is>
      </c>
    </row>
    <row r="12">
      <c r="A12" s="2" t="inlineStr">
        <is>
          <t>Υποβολή δικαιολογητικών προσωρινού αναδόχου</t>
        </is>
      </c>
      <c r="B12" s="6" t="n"/>
      <c r="C12" s="2" t="inlineStr">
        <is>
          <t>Μέσα σε 10 ημέρες από την ειδοποίηση (§5.3.1). Πριν έρθει, βάλε εκτίμηση για προέλεγχο</t>
        </is>
      </c>
    </row>
    <row r="13">
      <c r="A13" s="2" t="inlineStr">
        <is>
          <t>Υπόδειγμα οικονομικής προσφοράς</t>
        </is>
      </c>
      <c r="B13" s="5" t="n"/>
      <c r="C13" s="2" t="inlineStr">
        <is>
          <t>Παράρτημα ΙΙΙ της διακήρυξης (§4.3.2.1)· στις δύο προσκλήσεις Ε.Δ.Χ. του 2026 ήταν το Παράρτημα ΙΙ</t>
        </is>
      </c>
    </row>
    <row r="15">
      <c r="A15" s="8" t="inlineStr">
        <is>
          <t>Υπολογίζονται</t>
        </is>
      </c>
    </row>
    <row r="16">
      <c r="A16" s="2" t="inlineStr">
        <is>
          <t>Η προσφορά ισχύει τουλάχιστον ως</t>
        </is>
      </c>
      <c r="B16" s="9">
        <f>IF(ISNUMBER(deadline),EDATE(deadline+1,12),"")</f>
        <v/>
      </c>
      <c r="C16" s="2" t="inlineStr">
        <is>
          <t>12 μήνες από την επομένη της προθεσμίας (§4.4.1), αυστηρή ανάγνωση</t>
        </is>
      </c>
    </row>
    <row r="17">
      <c r="A17" s="2" t="inlineStr">
        <is>
          <t>Εγγύηση συμμετοχής: ισχύς τουλάχιστον ως</t>
        </is>
      </c>
      <c r="B17" s="9">
        <f>IF(ISNUMBER(B16),B16+30,"")</f>
        <v/>
      </c>
      <c r="C17" s="2" t="inlineStr">
        <is>
          <t>30 ημέρες μετά την ισχύ της προσφοράς (§4.3.1.2)</t>
        </is>
      </c>
    </row>
    <row r="18">
      <c r="A18" s="2" t="inlineStr">
        <is>
          <t>Εγγύηση καλής εκτέλεσης: ισχύς τουλάχιστον ως</t>
        </is>
      </c>
      <c r="B18" s="9">
        <f>IF(ISNUMBER(contract_end),EDATE(contract_end,2),"")</f>
        <v/>
      </c>
      <c r="C18" s="2" t="inlineStr">
        <is>
          <t>2 μήνες μετά τη λήξη της σύμβασης (§6.2.1)</t>
        </is>
      </c>
    </row>
    <row r="19">
      <c r="A19" s="2" t="inlineStr">
        <is>
          <t>Μήνες εγγύησης καλής εκτέλεσης</t>
        </is>
      </c>
      <c r="B19" s="10">
        <f>IF(AND(ISNUMBER(sign_date),ISNUMBER(contract_end)),YEARFRAC(sign_date,contract_end)*12+2,"")</f>
        <v/>
      </c>
      <c r="C19" s="2" t="inlineStr">
        <is>
          <t>Από την υπογραφή ως 2 μήνες μετά τη λήξη</t>
        </is>
      </c>
    </row>
    <row r="21">
      <c r="A21" s="8" t="inlineStr">
        <is>
          <t>Κόστη του πελάτη (τα δίνει ο πελάτης)</t>
        </is>
      </c>
    </row>
    <row r="22">
      <c r="A22" s="2" t="inlineStr">
        <is>
          <t>Κατανάλωση (λίτρα ανά 100 χλμ)</t>
        </is>
      </c>
      <c r="B22" s="11" t="n"/>
      <c r="C22" s="2" t="inlineStr"/>
    </row>
    <row r="23">
      <c r="A23" s="2" t="inlineStr">
        <is>
          <t>Τιμή καυσίμου (€ ανά λίτρο)</t>
        </is>
      </c>
      <c r="B23" s="12" t="n"/>
      <c r="C23" s="2" t="inlineStr">
        <is>
          <t>Όπως σου κοστίζει. Αν συμψηφίζεις ΦΠΑ, χωρίς ΦΠΑ: ρώτα τον λογιστή</t>
        </is>
      </c>
    </row>
    <row r="24">
      <c r="A24" s="2" t="inlineStr">
        <is>
          <t>Φθορές: λάστιχα, service, απόσβεση (€ ανά χλμ)</t>
        </is>
      </c>
      <c r="B24" s="12" t="n"/>
      <c r="C24" s="2" t="inlineStr"/>
    </row>
    <row r="25">
      <c r="A25" s="2" t="inlineStr">
        <is>
          <t>Τι βγάζεις από κούρσες στις ώρες των δρομολογίων, μετά το καύσιμο (€ ανά ώρα)</t>
        </is>
      </c>
      <c r="B25" s="13" t="n"/>
      <c r="C25" s="2" t="inlineStr">
        <is>
          <t>Όσα χάνεις όσο κάνεις το δρομολόγιο (plan §5, ευκαιρία)</t>
        </is>
      </c>
    </row>
    <row r="26">
      <c r="A26" s="2" t="inlineStr">
        <is>
          <t>Επιπλέον ασφάλιστρο για τους μαθητές (€ τον χρόνο)</t>
        </is>
      </c>
      <c r="B26" s="13" t="n"/>
      <c r="C26" s="2" t="inlineStr">
        <is>
          <t>0 αν το συμβόλαιο ήδη καλύπτει επιβαίνοντες για όλη τη σύμβαση (§7.6, όροι 14–15)</t>
        </is>
      </c>
    </row>
    <row r="27">
      <c r="A27" s="2" t="inlineStr">
        <is>
          <t>Προμήθεια τράπεζας για εγγυητικές (% τον χρόνο)</t>
        </is>
      </c>
      <c r="B27" s="14" t="n"/>
      <c r="C27" s="2" t="inlineStr">
        <is>
          <t>Ρώτα την τράπεζα</t>
        </is>
      </c>
    </row>
    <row r="28">
      <c r="A28" s="2" t="inlineStr">
        <is>
          <t>Έξοδα έκδοσης ανά εγγυητική (€)</t>
        </is>
      </c>
      <c r="B28" s="13" t="n"/>
      <c r="C28" s="2" t="inlineStr">
        <is>
          <t>Ρώτα την τράπεζα</t>
        </is>
      </c>
    </row>
    <row r="29">
      <c r="A29" s="2" t="inlineStr">
        <is>
          <t>Ημέρες που περιμένεις να πληρωθείς (% των ημερών του Παραρτήματος Ι)</t>
        </is>
      </c>
      <c r="B29" s="14" t="n"/>
      <c r="C29" s="2" t="inlineStr">
        <is>
          <t>Δεν πληρώνονται μέρες χωρίς σχολείο, απεργίες, καταλήψεις, κλειστά σχολεία λόγω κακοκαιρίας, απουσία μαθητή λόγω ασθένειας (§6.6.3)</t>
        </is>
      </c>
    </row>
    <row r="30">
      <c r="A30" s="2" t="inlineStr">
        <is>
          <t>Σενάριο: αύξηση τιμής καυσίμου (%)</t>
        </is>
      </c>
      <c r="B30" s="14" t="n"/>
      <c r="C30" s="2" t="inlineStr">
        <is>
          <t>Για τα ταξί δεν υπάρχει αναπροσαρμογή για το καύσιμο (§6.6.4)</t>
        </is>
      </c>
    </row>
    <row r="32">
      <c r="A32" s="8" t="inlineStr">
        <is>
          <t>Σταθερές της διακήρυξης</t>
        </is>
      </c>
    </row>
    <row r="33">
      <c r="A33" s="2" t="inlineStr">
        <is>
          <t>Κρατήσεις υπέρ τρίτων</t>
        </is>
      </c>
      <c r="B33" s="15" t="n">
        <v>0.0012</v>
      </c>
      <c r="C33" s="2" t="inlineStr">
        <is>
          <t>0,1% ΕΑΑΔΗΣΥ + 0,02% ΟΠΣ ΕΣΗΔΗΣ, σε κάθε πληρωμή (§6.6.2)</t>
        </is>
      </c>
    </row>
    <row r="34">
      <c r="A34" s="2" t="inlineStr">
        <is>
          <t>Κρατήσεις μαζί με χαρτόσημο και ΟΓΑ</t>
        </is>
      </c>
      <c r="B34" s="16">
        <f>B33*(1+0.03*1.2)</f>
        <v/>
      </c>
      <c r="C34" s="2" t="inlineStr">
        <is>
          <t>Χαρτόσημο 3% στις κρατήσεις και ΟΓΑ 20% στο χαρτόσημο (§4.3.2.2, §6.6.2)</t>
        </is>
      </c>
    </row>
    <row r="35">
      <c r="A35" s="2" t="inlineStr">
        <is>
          <t>Εγγύηση συμμετοχής</t>
        </is>
      </c>
      <c r="B35" s="17" t="n">
        <v>0.002</v>
      </c>
      <c r="C35" s="2" t="inlineStr">
        <is>
          <t>Του προϋπολογισμού χωρίς ΦΠΑ και προαίρεση (§4.3.1.2)</t>
        </is>
      </c>
    </row>
    <row r="36">
      <c r="A36" s="2" t="inlineStr">
        <is>
          <t>Εγγύηση καλής εκτέλεσης</t>
        </is>
      </c>
      <c r="B36" s="17" t="n">
        <v>0.04</v>
      </c>
      <c r="C36" s="2" t="inlineStr">
        <is>
          <t>Της αξίας της σύμβασης χωρίς προαίρεση (§6.2.1)</t>
        </is>
      </c>
    </row>
    <row r="37">
      <c r="A37" s="2" t="inlineStr">
        <is>
          <t>Μήνες που μένει η εγγύηση συμμετοχής</t>
        </is>
      </c>
      <c r="B37" s="18" t="n">
        <v>13</v>
      </c>
      <c r="C37" s="2" t="inlineStr">
        <is>
          <t>Υπόθεση: όλη η ισχύς, 12 μήνες η προσφορά και 30 ημέρες (§4.4.1, §4.3.1.2)</t>
        </is>
      </c>
    </row>
    <row r="39">
      <c r="A39" s="2" t="inlineStr">
        <is>
          <t>Όλα τα κόστη και οι ημερομηνίες της σύμβασης συμπληρωμένα;</t>
        </is>
      </c>
      <c r="B39" s="19">
        <f>AND(ISNUMBER(years),years&gt;0,ISNUMBER(sign_date),ISNUMBER(contract_end),contract_end&gt;sign_date,ISNUMBER(fuel_cons),ISNUMBER(fuel_price),ISNUMBER(wear),ISNUMBER(opp_rate),ISNUMBER(ins_year),ISNUMBER(bank_rate),ISNUMBER(bank_fee),ISNUMBER(paid_share),paid_share&gt;0,paid_share&lt;=1,ISNUMBER(fuel_scn))</f>
        <v/>
      </c>
      <c r="C39" t="inlineStr">
        <is>
          <t>Αν όχι, τα Δρομολόγια γράφουν «λείπουν στοιχεία»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dataValidations count="3">
    <dataValidation sqref="B27" showDropDown="0" showInputMessage="0" showErrorMessage="0" allowBlank="0" errorTitle="Τιμή" error="Ποσοστό από 0% ως 100%" type="decimal" errorStyle="stop" operator="between">
      <formula1>0</formula1>
      <formula2>1</formula2>
    </dataValidation>
    <dataValidation sqref="B29" showDropDown="0" showInputMessage="0" showErrorMessage="0" allowBlank="0" errorTitle="Τιμή" error="Ποσοστό από 0% ως 100%" type="decimal" errorStyle="stop" operator="between">
      <formula1>0</formula1>
      <formula2>1</formula2>
    </dataValidation>
    <dataValidation sqref="B30" showDropDown="0" showInputMessage="0" showErrorMessage="0" allowBlank="0" errorTitle="Τιμή" error="Ποσοστό από 0% ως 100%" type="decimal" errorStyle="stop" operator="between">
      <formula1>0</formula1>
      <formula2>1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20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8" customWidth="1" min="2" max="2"/>
    <col width="16" customWidth="1" min="3" max="3"/>
    <col width="9" customWidth="1" min="4" max="4"/>
    <col width="9" customWidth="1" min="5" max="5"/>
    <col width="11" customWidth="1" min="6" max="6"/>
    <col width="8" customWidth="1" min="7" max="7"/>
    <col width="13" customWidth="1" min="8" max="8"/>
    <col width="10" customWidth="1" min="9" max="9"/>
    <col width="11" customWidth="1" min="10" max="10"/>
    <col width="9" customWidth="1" min="11" max="11"/>
    <col width="10" customWidth="1" min="12" max="12"/>
    <col width="10" customWidth="1" min="13" max="13"/>
    <col width="9" customWidth="1" min="14" max="14"/>
    <col width="11" customWidth="1" min="15" max="15"/>
    <col width="8" customWidth="1" min="16" max="16"/>
    <col width="9" customWidth="1" min="17" max="17"/>
    <col width="11" customWidth="1" min="18" max="18"/>
    <col width="11" customWidth="1" min="19" max="19"/>
    <col width="11" customWidth="1" min="20" max="20"/>
    <col width="12" customWidth="1" min="21" max="21"/>
    <col width="13" customWidth="1" min="22" max="22"/>
    <col width="12" customWidth="1" min="23" max="23"/>
    <col width="12" customWidth="1" min="24" max="24"/>
    <col width="14" customWidth="1" min="25" max="25"/>
    <col width="11" customWidth="1" min="26" max="26"/>
    <col width="14" customWidth="1" min="27" max="27"/>
    <col width="34" customWidth="1" min="28" max="28"/>
  </cols>
  <sheetData>
    <row r="1">
      <c r="A1" s="3" t="inlineStr">
        <is>
          <t>Δρομολόγια: go/no-go ανά δρομολόγιο</t>
        </is>
      </c>
    </row>
    <row r="2" ht="20" customHeight="1">
      <c r="A2" s="2" t="inlineStr">
        <is>
          <t>Ο πίνακας δείχνει αριθμούς. Την έκπτωση την αποφασίζει ο πελάτης. Καθαρό = πριν τον φόρο εισοδήματος· σε κάθε πληρωμή γίνεται παρακράτηση φόρου (§6.6.2): ρώτα τον λογιστή.</t>
        </is>
      </c>
    </row>
    <row r="3" ht="48" customHeight="1">
      <c r="A3" s="2" t="inlineStr">
        <is>
          <t>Πες τα στον πελάτη: καμία αναπροσαρμογή για το καύσιμο (§6.6.4) · κατάργηση ή συγχώνευση δρομολογίου χωρίς αποζημίωση (§7.6.1) και αλλαγές στη διαδρομή που πρέπει να δεχτεί (§7.6.2–3) · δεν πληρώνονται μέρες χωρίς μεταφορά (§6.6.3) · τον συνοδό τον πληρώνει ο ανάδοχος, η δαπάνη του είναι μέσα στην τιμή (§4.3.2.2) · εφεδρικό όχημα, αλλιώς πληρώνει άλλο μέσο (§7.6.5) · η έκπτωση δεσμεύει ως τη λήξη (§4.3.2.1) · η εγγύηση 4% μένει ως 2 μήνες μετά τη λήξη (§6.2.1) · πολύ μεγάλη έκπτωση μπορεί να κριθεί ασυνήθιστα χαμηλή και να ζητηθούν εξηγήσεις σε ≤20 ημέρες (§5.2.2).</t>
        </is>
      </c>
    </row>
    <row r="4">
      <c r="B4" s="8" t="inlineStr">
        <is>
          <t>Από το Παράρτημα Ι της πρόσκλησης</t>
        </is>
      </c>
      <c r="J4" s="8" t="inlineStr">
        <is>
          <t>Εκτίμηση του πελάτη</t>
        </is>
      </c>
      <c r="M4" s="8" t="inlineStr">
        <is>
          <t>Απόφαση του πελάτη</t>
        </is>
      </c>
      <c r="P4" s="8" t="inlineStr">
        <is>
          <t>Αποτελέσματα (δεν αλλάζουν)</t>
        </is>
      </c>
    </row>
    <row r="5" ht="90" customHeight="1">
      <c r="A5" s="4" t="inlineStr">
        <is>
          <t>#</t>
        </is>
      </c>
      <c r="B5" s="4" t="inlineStr">
        <is>
          <t>Α/Α Παραρτήματος Ι</t>
        </is>
      </c>
      <c r="C5" s="4" t="inlineStr">
        <is>
          <t>Κωδικός δρομολογίου</t>
        </is>
      </c>
      <c r="D5" s="4" t="inlineStr">
        <is>
          <t>Ομάδα (αν υπάρχει)</t>
        </is>
      </c>
      <c r="E5" s="4" t="inlineStr">
        <is>
          <t>Συνοδός (ΝΑΙ/ΟΧΙ)</t>
        </is>
      </c>
      <c r="F5" s="4" t="inlineStr">
        <is>
          <t>Τιμή αναφοράς (€/ημέρα, χωρίς ΦΠΑ)</t>
        </is>
      </c>
      <c r="G5" s="4" t="inlineStr">
        <is>
          <t>Ημέρες (Παράρτημα Ι)</t>
        </is>
      </c>
      <c r="H5" s="4" t="inlineStr">
        <is>
          <t>Προϋπολογισμός χωρίς ΦΠΑ και προαίρεση (€)</t>
        </is>
      </c>
      <c r="I5" s="4" t="inlineStr">
        <is>
          <t>Άγονο σε προηγούμενη πρόσκληση</t>
        </is>
      </c>
      <c r="J5" s="4" t="inlineStr">
        <is>
          <t>Χιλιόμετρα την ημέρα, όλα (με μαθητές και άδεια)</t>
        </is>
      </c>
      <c r="K5" s="4" t="inlineStr">
        <is>
          <t>Ώρες την ημέρα που δεσμεύει</t>
        </is>
      </c>
      <c r="L5" s="4" t="inlineStr">
        <is>
          <t>Συνοδός (€/ημέρα)</t>
        </is>
      </c>
      <c r="M5" s="4" t="inlineStr">
        <is>
          <t>Έκπτωση που εξετάζει ο πελάτης (%)</t>
        </is>
      </c>
      <c r="N5" s="4" t="inlineStr">
        <is>
          <t>Απόφαση πελάτη (ΝΑΙ/ΟΧΙ)</t>
        </is>
      </c>
      <c r="O5" s="4" t="inlineStr">
        <is>
          <t>Ημερομηνία απόφασης</t>
        </is>
      </c>
      <c r="P5" s="4" t="inlineStr">
        <is>
          <t>Πλήρη στοιχεία</t>
        </is>
      </c>
      <c r="Q5" s="4" t="inlineStr">
        <is>
          <t>Ημέρες πληρωμής τον χρόνο</t>
        </is>
      </c>
      <c r="R5" s="4" t="inlineStr">
        <is>
          <t>Σταθερό κόστος (€/ημέρα)</t>
        </is>
      </c>
      <c r="S5" s="4" t="inlineStr">
        <is>
          <t>Κρατήσεις και εγγύηση 4% (επί της τιμής)</t>
        </is>
      </c>
      <c r="T5" s="4" t="inlineStr">
        <is>
          <t>Καθαρό με 0% (€/ημέρα)</t>
        </is>
      </c>
      <c r="U5" s="4" t="inlineStr">
        <is>
          <t>Καθαρό με 0% (€/έτος)</t>
        </is>
      </c>
      <c r="V5" s="4" t="inlineStr">
        <is>
          <t>Όριο έκπτωσης (%): η μεγαλύτερη με καθαρό ≥ 0</t>
        </is>
      </c>
      <c r="W5" s="4" t="inlineStr">
        <is>
          <t>Καθαρό στην έκπτωση που εξετάζει (€/ημέρα)</t>
        </is>
      </c>
      <c r="X5" s="4" t="inlineStr">
        <is>
          <t>Καθαρό στην έκπτωση που εξετάζει (€/έτος)</t>
        </is>
      </c>
      <c r="Y5" s="4" t="inlineStr">
        <is>
          <t>Καθαρό με το σενάριο καυσίμου (€/ημέρα, στην έκπτωση που εξετάζει, αλλιώς 0%)</t>
        </is>
      </c>
      <c r="Z5" s="4" t="inlineStr">
        <is>
          <t>Εγγύηση συμμετοχής (€, 0,2%)</t>
        </is>
      </c>
      <c r="AA5" s="4" t="inlineStr">
        <is>
          <t>Εγγύηση καλής εκτέλεσης (€, 4%, στην έκπτωση που εξετάζει, αλλιώς 0%)</t>
        </is>
      </c>
      <c r="AB5" s="4" t="inlineStr">
        <is>
          <t>Προσοχή</t>
        </is>
      </c>
    </row>
    <row r="6">
      <c r="A6" t="n">
        <v>1</v>
      </c>
      <c r="B6" s="5" t="n"/>
      <c r="C6" s="5" t="n"/>
      <c r="D6" s="5" t="n"/>
      <c r="E6" s="5" t="n"/>
      <c r="F6" s="13" t="n"/>
      <c r="G6" s="5" t="n"/>
      <c r="H6" s="13" t="n"/>
      <c r="I6" s="5" t="n"/>
      <c r="J6" s="5" t="n"/>
      <c r="K6" s="5" t="n"/>
      <c r="L6" s="13" t="n"/>
      <c r="M6" s="5" t="n"/>
      <c r="N6" s="5" t="n"/>
      <c r="O6" s="6" t="n"/>
      <c r="P6" s="19">
        <f>AND(inputs_ok,C6&lt;&gt;"",OR(E6="ΝΑΙ",E6="ΟΧΙ"),ISNUMBER(F6),F6&gt;0,ISNUMBER(G6),G6&gt;0,ISNUMBER(H6),ISNUMBER(J6),ISNUMBER(K6),OR(E6="ΟΧΙ",ISNUMBER(L6)))</f>
        <v/>
      </c>
      <c r="Q6" s="10">
        <f>IF(P6,G6/years*paid_share,"")</f>
        <v/>
      </c>
      <c r="R6" s="20">
        <f>IF(P6,J6*(fuel_cons/100*fuel_price+wear)+IF(E6="ΝΑΙ",L6,0)+ins_year/Q6+K6*opp_rate+(2*bank_fee+bank_rate*Z6*gp_months/12)/(G6*paid_share),"")</f>
        <v/>
      </c>
      <c r="S6" s="16">
        <f>IF(P6,ded_rate+gg_rate*bank_rate*gg_months/12/paid_share,"")</f>
        <v/>
      </c>
      <c r="T6" s="20">
        <f>IF(P6,'Πλέγμα'!B6,"λείπουν στοιχεία")</f>
        <v/>
      </c>
      <c r="U6" s="20">
        <f>IF(P6,T6*Q6,"")</f>
        <v/>
      </c>
      <c r="V6" s="18">
        <f>IF(NOT(P6),"λείπουν στοιχεία",IF(T6&lt;0,"καμία: ζημιά και με 0%",_xlfn.MAXIFS('Πλέγμα'!$A$6:$A$105,'Πλέγμα'!B$6:B$105,"&gt;=0")))</f>
        <v/>
      </c>
      <c r="W6" s="20">
        <f>IF(OR(NOT(P6),M6=""),"",IF(AND(ISNUMBER(M6),M6=INT(M6),M6&gt;=0,M6&lt;=99),INDEX('Πλέγμα'!B$6:B$105,M6+1),"ακέραια έκπτωση 0–99"))</f>
        <v/>
      </c>
      <c r="X6" s="20">
        <f>IF(ISNUMBER(W6),W6*Q6,"")</f>
        <v/>
      </c>
      <c r="Y6" s="20">
        <f>IF(NOT(P6),"",IF(ISNUMBER(W6),W6,T6)-J6*fuel_cons/100*fuel_price*fuel_scn)</f>
        <v/>
      </c>
      <c r="Z6" s="20">
        <f>IF(ISNUMBER(H6),ROUNDUP(ROUND(ROUND(H6*100,0)*gp_rate,6),0)/100,"")</f>
        <v/>
      </c>
      <c r="AA6" s="20">
        <f>IF(AND(ISNUMBER(F6),ISNUMBER(G6)),ROUNDUP(ROUND(ROUND(ROUND(F6*100,0)*(100-IF(AND(ISNUMBER(M6),M6=INT(M6),M6&gt;=0,M6&lt;=99),M6,0))/100,0)*G6*gg_rate,6),0)/100,"")</f>
        <v/>
      </c>
      <c r="AB6" s="21">
        <f>IF(C6="","",TRIM(IF(AND(E6="ΝΑΙ",ISNUMBER(L6)),IF(L6=0,"Συνοδός με 0 €; Τον πληρώνει ο ανάδοχος (§4.3.2.2). ",""),"")&amp;IF(ISNUMBER(T6),IF(T6&lt;0,"Ζημιά και με 0%. ",""),"")&amp;IF(AND(N6="ΝΑΙ",NOT(ISNUMBER(O6))),"Λείπει η ημερομηνία απόφασης. ","")))</f>
        <v/>
      </c>
    </row>
    <row r="7">
      <c r="A7" t="n">
        <v>2</v>
      </c>
      <c r="B7" s="5" t="n"/>
      <c r="C7" s="5" t="n"/>
      <c r="D7" s="5" t="n"/>
      <c r="E7" s="5" t="n"/>
      <c r="F7" s="13" t="n"/>
      <c r="G7" s="5" t="n"/>
      <c r="H7" s="13" t="n"/>
      <c r="I7" s="5" t="n"/>
      <c r="J7" s="5" t="n"/>
      <c r="K7" s="5" t="n"/>
      <c r="L7" s="13" t="n"/>
      <c r="M7" s="5" t="n"/>
      <c r="N7" s="5" t="n"/>
      <c r="O7" s="6" t="n"/>
      <c r="P7" s="19">
        <f>AND(inputs_ok,C7&lt;&gt;"",OR(E7="ΝΑΙ",E7="ΟΧΙ"),ISNUMBER(F7),F7&gt;0,ISNUMBER(G7),G7&gt;0,ISNUMBER(H7),ISNUMBER(J7),ISNUMBER(K7),OR(E7="ΟΧΙ",ISNUMBER(L7)))</f>
        <v/>
      </c>
      <c r="Q7" s="10">
        <f>IF(P7,G7/years*paid_share,"")</f>
        <v/>
      </c>
      <c r="R7" s="20">
        <f>IF(P7,J7*(fuel_cons/100*fuel_price+wear)+IF(E7="ΝΑΙ",L7,0)+ins_year/Q7+K7*opp_rate+(2*bank_fee+bank_rate*Z7*gp_months/12)/(G7*paid_share),"")</f>
        <v/>
      </c>
      <c r="S7" s="16">
        <f>IF(P7,ded_rate+gg_rate*bank_rate*gg_months/12/paid_share,"")</f>
        <v/>
      </c>
      <c r="T7" s="20">
        <f>IF(P7,'Πλέγμα'!C6,"λείπουν στοιχεία")</f>
        <v/>
      </c>
      <c r="U7" s="20">
        <f>IF(P7,T7*Q7,"")</f>
        <v/>
      </c>
      <c r="V7" s="18">
        <f>IF(NOT(P7),"λείπουν στοιχεία",IF(T7&lt;0,"καμία: ζημιά και με 0%",_xlfn.MAXIFS('Πλέγμα'!$A$6:$A$105,'Πλέγμα'!C$6:C$105,"&gt;=0")))</f>
        <v/>
      </c>
      <c r="W7" s="20">
        <f>IF(OR(NOT(P7),M7=""),"",IF(AND(ISNUMBER(M7),M7=INT(M7),M7&gt;=0,M7&lt;=99),INDEX('Πλέγμα'!C$6:C$105,M7+1),"ακέραια έκπτωση 0–99"))</f>
        <v/>
      </c>
      <c r="X7" s="20">
        <f>IF(ISNUMBER(W7),W7*Q7,"")</f>
        <v/>
      </c>
      <c r="Y7" s="20">
        <f>IF(NOT(P7),"",IF(ISNUMBER(W7),W7,T7)-J7*fuel_cons/100*fuel_price*fuel_scn)</f>
        <v/>
      </c>
      <c r="Z7" s="20">
        <f>IF(ISNUMBER(H7),ROUNDUP(ROUND(ROUND(H7*100,0)*gp_rate,6),0)/100,"")</f>
        <v/>
      </c>
      <c r="AA7" s="20">
        <f>IF(AND(ISNUMBER(F7),ISNUMBER(G7)),ROUNDUP(ROUND(ROUND(ROUND(F7*100,0)*(100-IF(AND(ISNUMBER(M7),M7=INT(M7),M7&gt;=0,M7&lt;=99),M7,0))/100,0)*G7*gg_rate,6),0)/100,"")</f>
        <v/>
      </c>
      <c r="AB7" s="21">
        <f>IF(C7="","",TRIM(IF(AND(E7="ΝΑΙ",ISNUMBER(L7)),IF(L7=0,"Συνοδός με 0 €; Τον πληρώνει ο ανάδοχος (§4.3.2.2). ",""),"")&amp;IF(ISNUMBER(T7),IF(T7&lt;0,"Ζημιά και με 0%. ",""),"")&amp;IF(AND(N7="ΝΑΙ",NOT(ISNUMBER(O7))),"Λείπει η ημερομηνία απόφασης. ","")))</f>
        <v/>
      </c>
    </row>
    <row r="8">
      <c r="A8" t="n">
        <v>3</v>
      </c>
      <c r="B8" s="5" t="n"/>
      <c r="C8" s="5" t="n"/>
      <c r="D8" s="5" t="n"/>
      <c r="E8" s="5" t="n"/>
      <c r="F8" s="13" t="n"/>
      <c r="G8" s="5" t="n"/>
      <c r="H8" s="13" t="n"/>
      <c r="I8" s="5" t="n"/>
      <c r="J8" s="5" t="n"/>
      <c r="K8" s="5" t="n"/>
      <c r="L8" s="13" t="n"/>
      <c r="M8" s="5" t="n"/>
      <c r="N8" s="5" t="n"/>
      <c r="O8" s="6" t="n"/>
      <c r="P8" s="19">
        <f>AND(inputs_ok,C8&lt;&gt;"",OR(E8="ΝΑΙ",E8="ΟΧΙ"),ISNUMBER(F8),F8&gt;0,ISNUMBER(G8),G8&gt;0,ISNUMBER(H8),ISNUMBER(J8),ISNUMBER(K8),OR(E8="ΟΧΙ",ISNUMBER(L8)))</f>
        <v/>
      </c>
      <c r="Q8" s="10">
        <f>IF(P8,G8/years*paid_share,"")</f>
        <v/>
      </c>
      <c r="R8" s="20">
        <f>IF(P8,J8*(fuel_cons/100*fuel_price+wear)+IF(E8="ΝΑΙ",L8,0)+ins_year/Q8+K8*opp_rate+(2*bank_fee+bank_rate*Z8*gp_months/12)/(G8*paid_share),"")</f>
        <v/>
      </c>
      <c r="S8" s="16">
        <f>IF(P8,ded_rate+gg_rate*bank_rate*gg_months/12/paid_share,"")</f>
        <v/>
      </c>
      <c r="T8" s="20">
        <f>IF(P8,'Πλέγμα'!D6,"λείπουν στοιχεία")</f>
        <v/>
      </c>
      <c r="U8" s="20">
        <f>IF(P8,T8*Q8,"")</f>
        <v/>
      </c>
      <c r="V8" s="18">
        <f>IF(NOT(P8),"λείπουν στοιχεία",IF(T8&lt;0,"καμία: ζημιά και με 0%",_xlfn.MAXIFS('Πλέγμα'!$A$6:$A$105,'Πλέγμα'!D$6:D$105,"&gt;=0")))</f>
        <v/>
      </c>
      <c r="W8" s="20">
        <f>IF(OR(NOT(P8),M8=""),"",IF(AND(ISNUMBER(M8),M8=INT(M8),M8&gt;=0,M8&lt;=99),INDEX('Πλέγμα'!D$6:D$105,M8+1),"ακέραια έκπτωση 0–99"))</f>
        <v/>
      </c>
      <c r="X8" s="20">
        <f>IF(ISNUMBER(W8),W8*Q8,"")</f>
        <v/>
      </c>
      <c r="Y8" s="20">
        <f>IF(NOT(P8),"",IF(ISNUMBER(W8),W8,T8)-J8*fuel_cons/100*fuel_price*fuel_scn)</f>
        <v/>
      </c>
      <c r="Z8" s="20">
        <f>IF(ISNUMBER(H8),ROUNDUP(ROUND(ROUND(H8*100,0)*gp_rate,6),0)/100,"")</f>
        <v/>
      </c>
      <c r="AA8" s="20">
        <f>IF(AND(ISNUMBER(F8),ISNUMBER(G8)),ROUNDUP(ROUND(ROUND(ROUND(F8*100,0)*(100-IF(AND(ISNUMBER(M8),M8=INT(M8),M8&gt;=0,M8&lt;=99),M8,0))/100,0)*G8*gg_rate,6),0)/100,"")</f>
        <v/>
      </c>
      <c r="AB8" s="21">
        <f>IF(C8="","",TRIM(IF(AND(E8="ΝΑΙ",ISNUMBER(L8)),IF(L8=0,"Συνοδός με 0 €; Τον πληρώνει ο ανάδοχος (§4.3.2.2). ",""),"")&amp;IF(ISNUMBER(T8),IF(T8&lt;0,"Ζημιά και με 0%. ",""),"")&amp;IF(AND(N8="ΝΑΙ",NOT(ISNUMBER(O8))),"Λείπει η ημερομηνία απόφασης. ","")))</f>
        <v/>
      </c>
    </row>
    <row r="9">
      <c r="A9" t="n">
        <v>4</v>
      </c>
      <c r="B9" s="5" t="n"/>
      <c r="C9" s="5" t="n"/>
      <c r="D9" s="5" t="n"/>
      <c r="E9" s="5" t="n"/>
      <c r="F9" s="13" t="n"/>
      <c r="G9" s="5" t="n"/>
      <c r="H9" s="13" t="n"/>
      <c r="I9" s="5" t="n"/>
      <c r="J9" s="5" t="n"/>
      <c r="K9" s="5" t="n"/>
      <c r="L9" s="13" t="n"/>
      <c r="M9" s="5" t="n"/>
      <c r="N9" s="5" t="n"/>
      <c r="O9" s="6" t="n"/>
      <c r="P9" s="19">
        <f>AND(inputs_ok,C9&lt;&gt;"",OR(E9="ΝΑΙ",E9="ΟΧΙ"),ISNUMBER(F9),F9&gt;0,ISNUMBER(G9),G9&gt;0,ISNUMBER(H9),ISNUMBER(J9),ISNUMBER(K9),OR(E9="ΟΧΙ",ISNUMBER(L9)))</f>
        <v/>
      </c>
      <c r="Q9" s="10">
        <f>IF(P9,G9/years*paid_share,"")</f>
        <v/>
      </c>
      <c r="R9" s="20">
        <f>IF(P9,J9*(fuel_cons/100*fuel_price+wear)+IF(E9="ΝΑΙ",L9,0)+ins_year/Q9+K9*opp_rate+(2*bank_fee+bank_rate*Z9*gp_months/12)/(G9*paid_share),"")</f>
        <v/>
      </c>
      <c r="S9" s="16">
        <f>IF(P9,ded_rate+gg_rate*bank_rate*gg_months/12/paid_share,"")</f>
        <v/>
      </c>
      <c r="T9" s="20">
        <f>IF(P9,'Πλέγμα'!E6,"λείπουν στοιχεία")</f>
        <v/>
      </c>
      <c r="U9" s="20">
        <f>IF(P9,T9*Q9,"")</f>
        <v/>
      </c>
      <c r="V9" s="18">
        <f>IF(NOT(P9),"λείπουν στοιχεία",IF(T9&lt;0,"καμία: ζημιά και με 0%",_xlfn.MAXIFS('Πλέγμα'!$A$6:$A$105,'Πλέγμα'!E$6:E$105,"&gt;=0")))</f>
        <v/>
      </c>
      <c r="W9" s="20">
        <f>IF(OR(NOT(P9),M9=""),"",IF(AND(ISNUMBER(M9),M9=INT(M9),M9&gt;=0,M9&lt;=99),INDEX('Πλέγμα'!E$6:E$105,M9+1),"ακέραια έκπτωση 0–99"))</f>
        <v/>
      </c>
      <c r="X9" s="20">
        <f>IF(ISNUMBER(W9),W9*Q9,"")</f>
        <v/>
      </c>
      <c r="Y9" s="20">
        <f>IF(NOT(P9),"",IF(ISNUMBER(W9),W9,T9)-J9*fuel_cons/100*fuel_price*fuel_scn)</f>
        <v/>
      </c>
      <c r="Z9" s="20">
        <f>IF(ISNUMBER(H9),ROUNDUP(ROUND(ROUND(H9*100,0)*gp_rate,6),0)/100,"")</f>
        <v/>
      </c>
      <c r="AA9" s="20">
        <f>IF(AND(ISNUMBER(F9),ISNUMBER(G9)),ROUNDUP(ROUND(ROUND(ROUND(F9*100,0)*(100-IF(AND(ISNUMBER(M9),M9=INT(M9),M9&gt;=0,M9&lt;=99),M9,0))/100,0)*G9*gg_rate,6),0)/100,"")</f>
        <v/>
      </c>
      <c r="AB9" s="21">
        <f>IF(C9="","",TRIM(IF(AND(E9="ΝΑΙ",ISNUMBER(L9)),IF(L9=0,"Συνοδός με 0 €; Τον πληρώνει ο ανάδοχος (§4.3.2.2). ",""),"")&amp;IF(ISNUMBER(T9),IF(T9&lt;0,"Ζημιά και με 0%. ",""),"")&amp;IF(AND(N9="ΝΑΙ",NOT(ISNUMBER(O9))),"Λείπει η ημερομηνία απόφασης. ","")))</f>
        <v/>
      </c>
    </row>
    <row r="10">
      <c r="A10" t="n">
        <v>5</v>
      </c>
      <c r="B10" s="5" t="n"/>
      <c r="C10" s="5" t="n"/>
      <c r="D10" s="5" t="n"/>
      <c r="E10" s="5" t="n"/>
      <c r="F10" s="13" t="n"/>
      <c r="G10" s="5" t="n"/>
      <c r="H10" s="13" t="n"/>
      <c r="I10" s="5" t="n"/>
      <c r="J10" s="5" t="n"/>
      <c r="K10" s="5" t="n"/>
      <c r="L10" s="13" t="n"/>
      <c r="M10" s="5" t="n"/>
      <c r="N10" s="5" t="n"/>
      <c r="O10" s="6" t="n"/>
      <c r="P10" s="19">
        <f>AND(inputs_ok,C10&lt;&gt;"",OR(E10="ΝΑΙ",E10="ΟΧΙ"),ISNUMBER(F10),F10&gt;0,ISNUMBER(G10),G10&gt;0,ISNUMBER(H10),ISNUMBER(J10),ISNUMBER(K10),OR(E10="ΟΧΙ",ISNUMBER(L10)))</f>
        <v/>
      </c>
      <c r="Q10" s="10">
        <f>IF(P10,G10/years*paid_share,"")</f>
        <v/>
      </c>
      <c r="R10" s="20">
        <f>IF(P10,J10*(fuel_cons/100*fuel_price+wear)+IF(E10="ΝΑΙ",L10,0)+ins_year/Q10+K10*opp_rate+(2*bank_fee+bank_rate*Z10*gp_months/12)/(G10*paid_share),"")</f>
        <v/>
      </c>
      <c r="S10" s="16">
        <f>IF(P10,ded_rate+gg_rate*bank_rate*gg_months/12/paid_share,"")</f>
        <v/>
      </c>
      <c r="T10" s="20">
        <f>IF(P10,'Πλέγμα'!F6,"λείπουν στοιχεία")</f>
        <v/>
      </c>
      <c r="U10" s="20">
        <f>IF(P10,T10*Q10,"")</f>
        <v/>
      </c>
      <c r="V10" s="18">
        <f>IF(NOT(P10),"λείπουν στοιχεία",IF(T10&lt;0,"καμία: ζημιά και με 0%",_xlfn.MAXIFS('Πλέγμα'!$A$6:$A$105,'Πλέγμα'!F$6:F$105,"&gt;=0")))</f>
        <v/>
      </c>
      <c r="W10" s="20">
        <f>IF(OR(NOT(P10),M10=""),"",IF(AND(ISNUMBER(M10),M10=INT(M10),M10&gt;=0,M10&lt;=99),INDEX('Πλέγμα'!F$6:F$105,M10+1),"ακέραια έκπτωση 0–99"))</f>
        <v/>
      </c>
      <c r="X10" s="20">
        <f>IF(ISNUMBER(W10),W10*Q10,"")</f>
        <v/>
      </c>
      <c r="Y10" s="20">
        <f>IF(NOT(P10),"",IF(ISNUMBER(W10),W10,T10)-J10*fuel_cons/100*fuel_price*fuel_scn)</f>
        <v/>
      </c>
      <c r="Z10" s="20">
        <f>IF(ISNUMBER(H10),ROUNDUP(ROUND(ROUND(H10*100,0)*gp_rate,6),0)/100,"")</f>
        <v/>
      </c>
      <c r="AA10" s="20">
        <f>IF(AND(ISNUMBER(F10),ISNUMBER(G10)),ROUNDUP(ROUND(ROUND(ROUND(F10*100,0)*(100-IF(AND(ISNUMBER(M10),M10=INT(M10),M10&gt;=0,M10&lt;=99),M10,0))/100,0)*G10*gg_rate,6),0)/100,"")</f>
        <v/>
      </c>
      <c r="AB10" s="21">
        <f>IF(C10="","",TRIM(IF(AND(E10="ΝΑΙ",ISNUMBER(L10)),IF(L10=0,"Συνοδός με 0 €; Τον πληρώνει ο ανάδοχος (§4.3.2.2). ",""),"")&amp;IF(ISNUMBER(T10),IF(T10&lt;0,"Ζημιά και με 0%. ",""),"")&amp;IF(AND(N10="ΝΑΙ",NOT(ISNUMBER(O10))),"Λείπει η ημερομηνία απόφασης. ","")))</f>
        <v/>
      </c>
    </row>
    <row r="11">
      <c r="A11" t="n">
        <v>6</v>
      </c>
      <c r="B11" s="5" t="n"/>
      <c r="C11" s="5" t="n"/>
      <c r="D11" s="5" t="n"/>
      <c r="E11" s="5" t="n"/>
      <c r="F11" s="13" t="n"/>
      <c r="G11" s="5" t="n"/>
      <c r="H11" s="13" t="n"/>
      <c r="I11" s="5" t="n"/>
      <c r="J11" s="5" t="n"/>
      <c r="K11" s="5" t="n"/>
      <c r="L11" s="13" t="n"/>
      <c r="M11" s="5" t="n"/>
      <c r="N11" s="5" t="n"/>
      <c r="O11" s="6" t="n"/>
      <c r="P11" s="19">
        <f>AND(inputs_ok,C11&lt;&gt;"",OR(E11="ΝΑΙ",E11="ΟΧΙ"),ISNUMBER(F11),F11&gt;0,ISNUMBER(G11),G11&gt;0,ISNUMBER(H11),ISNUMBER(J11),ISNUMBER(K11),OR(E11="ΟΧΙ",ISNUMBER(L11)))</f>
        <v/>
      </c>
      <c r="Q11" s="10">
        <f>IF(P11,G11/years*paid_share,"")</f>
        <v/>
      </c>
      <c r="R11" s="20">
        <f>IF(P11,J11*(fuel_cons/100*fuel_price+wear)+IF(E11="ΝΑΙ",L11,0)+ins_year/Q11+K11*opp_rate+(2*bank_fee+bank_rate*Z11*gp_months/12)/(G11*paid_share),"")</f>
        <v/>
      </c>
      <c r="S11" s="16">
        <f>IF(P11,ded_rate+gg_rate*bank_rate*gg_months/12/paid_share,"")</f>
        <v/>
      </c>
      <c r="T11" s="20">
        <f>IF(P11,'Πλέγμα'!G6,"λείπουν στοιχεία")</f>
        <v/>
      </c>
      <c r="U11" s="20">
        <f>IF(P11,T11*Q11,"")</f>
        <v/>
      </c>
      <c r="V11" s="18">
        <f>IF(NOT(P11),"λείπουν στοιχεία",IF(T11&lt;0,"καμία: ζημιά και με 0%",_xlfn.MAXIFS('Πλέγμα'!$A$6:$A$105,'Πλέγμα'!G$6:G$105,"&gt;=0")))</f>
        <v/>
      </c>
      <c r="W11" s="20">
        <f>IF(OR(NOT(P11),M11=""),"",IF(AND(ISNUMBER(M11),M11=INT(M11),M11&gt;=0,M11&lt;=99),INDEX('Πλέγμα'!G$6:G$105,M11+1),"ακέραια έκπτωση 0–99"))</f>
        <v/>
      </c>
      <c r="X11" s="20">
        <f>IF(ISNUMBER(W11),W11*Q11,"")</f>
        <v/>
      </c>
      <c r="Y11" s="20">
        <f>IF(NOT(P11),"",IF(ISNUMBER(W11),W11,T11)-J11*fuel_cons/100*fuel_price*fuel_scn)</f>
        <v/>
      </c>
      <c r="Z11" s="20">
        <f>IF(ISNUMBER(H11),ROUNDUP(ROUND(ROUND(H11*100,0)*gp_rate,6),0)/100,"")</f>
        <v/>
      </c>
      <c r="AA11" s="20">
        <f>IF(AND(ISNUMBER(F11),ISNUMBER(G11)),ROUNDUP(ROUND(ROUND(ROUND(F11*100,0)*(100-IF(AND(ISNUMBER(M11),M11=INT(M11),M11&gt;=0,M11&lt;=99),M11,0))/100,0)*G11*gg_rate,6),0)/100,"")</f>
        <v/>
      </c>
      <c r="AB11" s="21">
        <f>IF(C11="","",TRIM(IF(AND(E11="ΝΑΙ",ISNUMBER(L11)),IF(L11=0,"Συνοδός με 0 €; Τον πληρώνει ο ανάδοχος (§4.3.2.2). ",""),"")&amp;IF(ISNUMBER(T11),IF(T11&lt;0,"Ζημιά και με 0%. ",""),"")&amp;IF(AND(N11="ΝΑΙ",NOT(ISNUMBER(O11))),"Λείπει η ημερομηνία απόφασης. ","")))</f>
        <v/>
      </c>
    </row>
    <row r="12">
      <c r="A12" t="n">
        <v>7</v>
      </c>
      <c r="B12" s="5" t="n"/>
      <c r="C12" s="5" t="n"/>
      <c r="D12" s="5" t="n"/>
      <c r="E12" s="5" t="n"/>
      <c r="F12" s="13" t="n"/>
      <c r="G12" s="5" t="n"/>
      <c r="H12" s="13" t="n"/>
      <c r="I12" s="5" t="n"/>
      <c r="J12" s="5" t="n"/>
      <c r="K12" s="5" t="n"/>
      <c r="L12" s="13" t="n"/>
      <c r="M12" s="5" t="n"/>
      <c r="N12" s="5" t="n"/>
      <c r="O12" s="6" t="n"/>
      <c r="P12" s="19">
        <f>AND(inputs_ok,C12&lt;&gt;"",OR(E12="ΝΑΙ",E12="ΟΧΙ"),ISNUMBER(F12),F12&gt;0,ISNUMBER(G12),G12&gt;0,ISNUMBER(H12),ISNUMBER(J12),ISNUMBER(K12),OR(E12="ΟΧΙ",ISNUMBER(L12)))</f>
        <v/>
      </c>
      <c r="Q12" s="10">
        <f>IF(P12,G12/years*paid_share,"")</f>
        <v/>
      </c>
      <c r="R12" s="20">
        <f>IF(P12,J12*(fuel_cons/100*fuel_price+wear)+IF(E12="ΝΑΙ",L12,0)+ins_year/Q12+K12*opp_rate+(2*bank_fee+bank_rate*Z12*gp_months/12)/(G12*paid_share),"")</f>
        <v/>
      </c>
      <c r="S12" s="16">
        <f>IF(P12,ded_rate+gg_rate*bank_rate*gg_months/12/paid_share,"")</f>
        <v/>
      </c>
      <c r="T12" s="20">
        <f>IF(P12,'Πλέγμα'!H6,"λείπουν στοιχεία")</f>
        <v/>
      </c>
      <c r="U12" s="20">
        <f>IF(P12,T12*Q12,"")</f>
        <v/>
      </c>
      <c r="V12" s="18">
        <f>IF(NOT(P12),"λείπουν στοιχεία",IF(T12&lt;0,"καμία: ζημιά και με 0%",_xlfn.MAXIFS('Πλέγμα'!$A$6:$A$105,'Πλέγμα'!H$6:H$105,"&gt;=0")))</f>
        <v/>
      </c>
      <c r="W12" s="20">
        <f>IF(OR(NOT(P12),M12=""),"",IF(AND(ISNUMBER(M12),M12=INT(M12),M12&gt;=0,M12&lt;=99),INDEX('Πλέγμα'!H$6:H$105,M12+1),"ακέραια έκπτωση 0–99"))</f>
        <v/>
      </c>
      <c r="X12" s="20">
        <f>IF(ISNUMBER(W12),W12*Q12,"")</f>
        <v/>
      </c>
      <c r="Y12" s="20">
        <f>IF(NOT(P12),"",IF(ISNUMBER(W12),W12,T12)-J12*fuel_cons/100*fuel_price*fuel_scn)</f>
        <v/>
      </c>
      <c r="Z12" s="20">
        <f>IF(ISNUMBER(H12),ROUNDUP(ROUND(ROUND(H12*100,0)*gp_rate,6),0)/100,"")</f>
        <v/>
      </c>
      <c r="AA12" s="20">
        <f>IF(AND(ISNUMBER(F12),ISNUMBER(G12)),ROUNDUP(ROUND(ROUND(ROUND(F12*100,0)*(100-IF(AND(ISNUMBER(M12),M12=INT(M12),M12&gt;=0,M12&lt;=99),M12,0))/100,0)*G12*gg_rate,6),0)/100,"")</f>
        <v/>
      </c>
      <c r="AB12" s="21">
        <f>IF(C12="","",TRIM(IF(AND(E12="ΝΑΙ",ISNUMBER(L12)),IF(L12=0,"Συνοδός με 0 €; Τον πληρώνει ο ανάδοχος (§4.3.2.2). ",""),"")&amp;IF(ISNUMBER(T12),IF(T12&lt;0,"Ζημιά και με 0%. ",""),"")&amp;IF(AND(N12="ΝΑΙ",NOT(ISNUMBER(O12))),"Λείπει η ημερομηνία απόφασης. ","")))</f>
        <v/>
      </c>
    </row>
    <row r="13">
      <c r="A13" t="n">
        <v>8</v>
      </c>
      <c r="B13" s="5" t="n"/>
      <c r="C13" s="5" t="n"/>
      <c r="D13" s="5" t="n"/>
      <c r="E13" s="5" t="n"/>
      <c r="F13" s="13" t="n"/>
      <c r="G13" s="5" t="n"/>
      <c r="H13" s="13" t="n"/>
      <c r="I13" s="5" t="n"/>
      <c r="J13" s="5" t="n"/>
      <c r="K13" s="5" t="n"/>
      <c r="L13" s="13" t="n"/>
      <c r="M13" s="5" t="n"/>
      <c r="N13" s="5" t="n"/>
      <c r="O13" s="6" t="n"/>
      <c r="P13" s="19">
        <f>AND(inputs_ok,C13&lt;&gt;"",OR(E13="ΝΑΙ",E13="ΟΧΙ"),ISNUMBER(F13),F13&gt;0,ISNUMBER(G13),G13&gt;0,ISNUMBER(H13),ISNUMBER(J13),ISNUMBER(K13),OR(E13="ΟΧΙ",ISNUMBER(L13)))</f>
        <v/>
      </c>
      <c r="Q13" s="10">
        <f>IF(P13,G13/years*paid_share,"")</f>
        <v/>
      </c>
      <c r="R13" s="20">
        <f>IF(P13,J13*(fuel_cons/100*fuel_price+wear)+IF(E13="ΝΑΙ",L13,0)+ins_year/Q13+K13*opp_rate+(2*bank_fee+bank_rate*Z13*gp_months/12)/(G13*paid_share),"")</f>
        <v/>
      </c>
      <c r="S13" s="16">
        <f>IF(P13,ded_rate+gg_rate*bank_rate*gg_months/12/paid_share,"")</f>
        <v/>
      </c>
      <c r="T13" s="20">
        <f>IF(P13,'Πλέγμα'!I6,"λείπουν στοιχεία")</f>
        <v/>
      </c>
      <c r="U13" s="20">
        <f>IF(P13,T13*Q13,"")</f>
        <v/>
      </c>
      <c r="V13" s="18">
        <f>IF(NOT(P13),"λείπουν στοιχεία",IF(T13&lt;0,"καμία: ζημιά και με 0%",_xlfn.MAXIFS('Πλέγμα'!$A$6:$A$105,'Πλέγμα'!I$6:I$105,"&gt;=0")))</f>
        <v/>
      </c>
      <c r="W13" s="20">
        <f>IF(OR(NOT(P13),M13=""),"",IF(AND(ISNUMBER(M13),M13=INT(M13),M13&gt;=0,M13&lt;=99),INDEX('Πλέγμα'!I$6:I$105,M13+1),"ακέραια έκπτωση 0–99"))</f>
        <v/>
      </c>
      <c r="X13" s="20">
        <f>IF(ISNUMBER(W13),W13*Q13,"")</f>
        <v/>
      </c>
      <c r="Y13" s="20">
        <f>IF(NOT(P13),"",IF(ISNUMBER(W13),W13,T13)-J13*fuel_cons/100*fuel_price*fuel_scn)</f>
        <v/>
      </c>
      <c r="Z13" s="20">
        <f>IF(ISNUMBER(H13),ROUNDUP(ROUND(ROUND(H13*100,0)*gp_rate,6),0)/100,"")</f>
        <v/>
      </c>
      <c r="AA13" s="20">
        <f>IF(AND(ISNUMBER(F13),ISNUMBER(G13)),ROUNDUP(ROUND(ROUND(ROUND(F13*100,0)*(100-IF(AND(ISNUMBER(M13),M13=INT(M13),M13&gt;=0,M13&lt;=99),M13,0))/100,0)*G13*gg_rate,6),0)/100,"")</f>
        <v/>
      </c>
      <c r="AB13" s="21">
        <f>IF(C13="","",TRIM(IF(AND(E13="ΝΑΙ",ISNUMBER(L13)),IF(L13=0,"Συνοδός με 0 €; Τον πληρώνει ο ανάδοχος (§4.3.2.2). ",""),"")&amp;IF(ISNUMBER(T13),IF(T13&lt;0,"Ζημιά και με 0%. ",""),"")&amp;IF(AND(N13="ΝΑΙ",NOT(ISNUMBER(O13))),"Λείπει η ημερομηνία απόφασης. ","")))</f>
        <v/>
      </c>
    </row>
    <row r="14">
      <c r="A14" t="n">
        <v>9</v>
      </c>
      <c r="B14" s="5" t="n"/>
      <c r="C14" s="5" t="n"/>
      <c r="D14" s="5" t="n"/>
      <c r="E14" s="5" t="n"/>
      <c r="F14" s="13" t="n"/>
      <c r="G14" s="5" t="n"/>
      <c r="H14" s="13" t="n"/>
      <c r="I14" s="5" t="n"/>
      <c r="J14" s="5" t="n"/>
      <c r="K14" s="5" t="n"/>
      <c r="L14" s="13" t="n"/>
      <c r="M14" s="5" t="n"/>
      <c r="N14" s="5" t="n"/>
      <c r="O14" s="6" t="n"/>
      <c r="P14" s="19">
        <f>AND(inputs_ok,C14&lt;&gt;"",OR(E14="ΝΑΙ",E14="ΟΧΙ"),ISNUMBER(F14),F14&gt;0,ISNUMBER(G14),G14&gt;0,ISNUMBER(H14),ISNUMBER(J14),ISNUMBER(K14),OR(E14="ΟΧΙ",ISNUMBER(L14)))</f>
        <v/>
      </c>
      <c r="Q14" s="10">
        <f>IF(P14,G14/years*paid_share,"")</f>
        <v/>
      </c>
      <c r="R14" s="20">
        <f>IF(P14,J14*(fuel_cons/100*fuel_price+wear)+IF(E14="ΝΑΙ",L14,0)+ins_year/Q14+K14*opp_rate+(2*bank_fee+bank_rate*Z14*gp_months/12)/(G14*paid_share),"")</f>
        <v/>
      </c>
      <c r="S14" s="16">
        <f>IF(P14,ded_rate+gg_rate*bank_rate*gg_months/12/paid_share,"")</f>
        <v/>
      </c>
      <c r="T14" s="20">
        <f>IF(P14,'Πλέγμα'!J6,"λείπουν στοιχεία")</f>
        <v/>
      </c>
      <c r="U14" s="20">
        <f>IF(P14,T14*Q14,"")</f>
        <v/>
      </c>
      <c r="V14" s="18">
        <f>IF(NOT(P14),"λείπουν στοιχεία",IF(T14&lt;0,"καμία: ζημιά και με 0%",_xlfn.MAXIFS('Πλέγμα'!$A$6:$A$105,'Πλέγμα'!J$6:J$105,"&gt;=0")))</f>
        <v/>
      </c>
      <c r="W14" s="20">
        <f>IF(OR(NOT(P14),M14=""),"",IF(AND(ISNUMBER(M14),M14=INT(M14),M14&gt;=0,M14&lt;=99),INDEX('Πλέγμα'!J$6:J$105,M14+1),"ακέραια έκπτωση 0–99"))</f>
        <v/>
      </c>
      <c r="X14" s="20">
        <f>IF(ISNUMBER(W14),W14*Q14,"")</f>
        <v/>
      </c>
      <c r="Y14" s="20">
        <f>IF(NOT(P14),"",IF(ISNUMBER(W14),W14,T14)-J14*fuel_cons/100*fuel_price*fuel_scn)</f>
        <v/>
      </c>
      <c r="Z14" s="20">
        <f>IF(ISNUMBER(H14),ROUNDUP(ROUND(ROUND(H14*100,0)*gp_rate,6),0)/100,"")</f>
        <v/>
      </c>
      <c r="AA14" s="20">
        <f>IF(AND(ISNUMBER(F14),ISNUMBER(G14)),ROUNDUP(ROUND(ROUND(ROUND(F14*100,0)*(100-IF(AND(ISNUMBER(M14),M14=INT(M14),M14&gt;=0,M14&lt;=99),M14,0))/100,0)*G14*gg_rate,6),0)/100,"")</f>
        <v/>
      </c>
      <c r="AB14" s="21">
        <f>IF(C14="","",TRIM(IF(AND(E14="ΝΑΙ",ISNUMBER(L14)),IF(L14=0,"Συνοδός με 0 €; Τον πληρώνει ο ανάδοχος (§4.3.2.2). ",""),"")&amp;IF(ISNUMBER(T14),IF(T14&lt;0,"Ζημιά και με 0%. ",""),"")&amp;IF(AND(N14="ΝΑΙ",NOT(ISNUMBER(O14))),"Λείπει η ημερομηνία απόφασης. ","")))</f>
        <v/>
      </c>
    </row>
    <row r="15">
      <c r="A15" t="n">
        <v>10</v>
      </c>
      <c r="B15" s="5" t="n"/>
      <c r="C15" s="5" t="n"/>
      <c r="D15" s="5" t="n"/>
      <c r="E15" s="5" t="n"/>
      <c r="F15" s="13" t="n"/>
      <c r="G15" s="5" t="n"/>
      <c r="H15" s="13" t="n"/>
      <c r="I15" s="5" t="n"/>
      <c r="J15" s="5" t="n"/>
      <c r="K15" s="5" t="n"/>
      <c r="L15" s="13" t="n"/>
      <c r="M15" s="5" t="n"/>
      <c r="N15" s="5" t="n"/>
      <c r="O15" s="6" t="n"/>
      <c r="P15" s="19">
        <f>AND(inputs_ok,C15&lt;&gt;"",OR(E15="ΝΑΙ",E15="ΟΧΙ"),ISNUMBER(F15),F15&gt;0,ISNUMBER(G15),G15&gt;0,ISNUMBER(H15),ISNUMBER(J15),ISNUMBER(K15),OR(E15="ΟΧΙ",ISNUMBER(L15)))</f>
        <v/>
      </c>
      <c r="Q15" s="10">
        <f>IF(P15,G15/years*paid_share,"")</f>
        <v/>
      </c>
      <c r="R15" s="20">
        <f>IF(P15,J15*(fuel_cons/100*fuel_price+wear)+IF(E15="ΝΑΙ",L15,0)+ins_year/Q15+K15*opp_rate+(2*bank_fee+bank_rate*Z15*gp_months/12)/(G15*paid_share),"")</f>
        <v/>
      </c>
      <c r="S15" s="16">
        <f>IF(P15,ded_rate+gg_rate*bank_rate*gg_months/12/paid_share,"")</f>
        <v/>
      </c>
      <c r="T15" s="20">
        <f>IF(P15,'Πλέγμα'!K6,"λείπουν στοιχεία")</f>
        <v/>
      </c>
      <c r="U15" s="20">
        <f>IF(P15,T15*Q15,"")</f>
        <v/>
      </c>
      <c r="V15" s="18">
        <f>IF(NOT(P15),"λείπουν στοιχεία",IF(T15&lt;0,"καμία: ζημιά και με 0%",_xlfn.MAXIFS('Πλέγμα'!$A$6:$A$105,'Πλέγμα'!K$6:K$105,"&gt;=0")))</f>
        <v/>
      </c>
      <c r="W15" s="20">
        <f>IF(OR(NOT(P15),M15=""),"",IF(AND(ISNUMBER(M15),M15=INT(M15),M15&gt;=0,M15&lt;=99),INDEX('Πλέγμα'!K$6:K$105,M15+1),"ακέραια έκπτωση 0–99"))</f>
        <v/>
      </c>
      <c r="X15" s="20">
        <f>IF(ISNUMBER(W15),W15*Q15,"")</f>
        <v/>
      </c>
      <c r="Y15" s="20">
        <f>IF(NOT(P15),"",IF(ISNUMBER(W15),W15,T15)-J15*fuel_cons/100*fuel_price*fuel_scn)</f>
        <v/>
      </c>
      <c r="Z15" s="20">
        <f>IF(ISNUMBER(H15),ROUNDUP(ROUND(ROUND(H15*100,0)*gp_rate,6),0)/100,"")</f>
        <v/>
      </c>
      <c r="AA15" s="20">
        <f>IF(AND(ISNUMBER(F15),ISNUMBER(G15)),ROUNDUP(ROUND(ROUND(ROUND(F15*100,0)*(100-IF(AND(ISNUMBER(M15),M15=INT(M15),M15&gt;=0,M15&lt;=99),M15,0))/100,0)*G15*gg_rate,6),0)/100,"")</f>
        <v/>
      </c>
      <c r="AB15" s="21">
        <f>IF(C15="","",TRIM(IF(AND(E15="ΝΑΙ",ISNUMBER(L15)),IF(L15=0,"Συνοδός με 0 €; Τον πληρώνει ο ανάδοχος (§4.3.2.2). ",""),"")&amp;IF(ISNUMBER(T15),IF(T15&lt;0,"Ζημιά και με 0%. ",""),"")&amp;IF(AND(N15="ΝΑΙ",NOT(ISNUMBER(O15))),"Λείπει η ημερομηνία απόφασης. ","")))</f>
        <v/>
      </c>
    </row>
    <row r="16">
      <c r="A16" t="n">
        <v>11</v>
      </c>
      <c r="B16" s="5" t="n"/>
      <c r="C16" s="5" t="n"/>
      <c r="D16" s="5" t="n"/>
      <c r="E16" s="5" t="n"/>
      <c r="F16" s="13" t="n"/>
      <c r="G16" s="5" t="n"/>
      <c r="H16" s="13" t="n"/>
      <c r="I16" s="5" t="n"/>
      <c r="J16" s="5" t="n"/>
      <c r="K16" s="5" t="n"/>
      <c r="L16" s="13" t="n"/>
      <c r="M16" s="5" t="n"/>
      <c r="N16" s="5" t="n"/>
      <c r="O16" s="6" t="n"/>
      <c r="P16" s="19">
        <f>AND(inputs_ok,C16&lt;&gt;"",OR(E16="ΝΑΙ",E16="ΟΧΙ"),ISNUMBER(F16),F16&gt;0,ISNUMBER(G16),G16&gt;0,ISNUMBER(H16),ISNUMBER(J16),ISNUMBER(K16),OR(E16="ΟΧΙ",ISNUMBER(L16)))</f>
        <v/>
      </c>
      <c r="Q16" s="10">
        <f>IF(P16,G16/years*paid_share,"")</f>
        <v/>
      </c>
      <c r="R16" s="20">
        <f>IF(P16,J16*(fuel_cons/100*fuel_price+wear)+IF(E16="ΝΑΙ",L16,0)+ins_year/Q16+K16*opp_rate+(2*bank_fee+bank_rate*Z16*gp_months/12)/(G16*paid_share),"")</f>
        <v/>
      </c>
      <c r="S16" s="16">
        <f>IF(P16,ded_rate+gg_rate*bank_rate*gg_months/12/paid_share,"")</f>
        <v/>
      </c>
      <c r="T16" s="20">
        <f>IF(P16,'Πλέγμα'!L6,"λείπουν στοιχεία")</f>
        <v/>
      </c>
      <c r="U16" s="20">
        <f>IF(P16,T16*Q16,"")</f>
        <v/>
      </c>
      <c r="V16" s="18">
        <f>IF(NOT(P16),"λείπουν στοιχεία",IF(T16&lt;0,"καμία: ζημιά και με 0%",_xlfn.MAXIFS('Πλέγμα'!$A$6:$A$105,'Πλέγμα'!L$6:L$105,"&gt;=0")))</f>
        <v/>
      </c>
      <c r="W16" s="20">
        <f>IF(OR(NOT(P16),M16=""),"",IF(AND(ISNUMBER(M16),M16=INT(M16),M16&gt;=0,M16&lt;=99),INDEX('Πλέγμα'!L$6:L$105,M16+1),"ακέραια έκπτωση 0–99"))</f>
        <v/>
      </c>
      <c r="X16" s="20">
        <f>IF(ISNUMBER(W16),W16*Q16,"")</f>
        <v/>
      </c>
      <c r="Y16" s="20">
        <f>IF(NOT(P16),"",IF(ISNUMBER(W16),W16,T16)-J16*fuel_cons/100*fuel_price*fuel_scn)</f>
        <v/>
      </c>
      <c r="Z16" s="20">
        <f>IF(ISNUMBER(H16),ROUNDUP(ROUND(ROUND(H16*100,0)*gp_rate,6),0)/100,"")</f>
        <v/>
      </c>
      <c r="AA16" s="20">
        <f>IF(AND(ISNUMBER(F16),ISNUMBER(G16)),ROUNDUP(ROUND(ROUND(ROUND(F16*100,0)*(100-IF(AND(ISNUMBER(M16),M16=INT(M16),M16&gt;=0,M16&lt;=99),M16,0))/100,0)*G16*gg_rate,6),0)/100,"")</f>
        <v/>
      </c>
      <c r="AB16" s="21">
        <f>IF(C16="","",TRIM(IF(AND(E16="ΝΑΙ",ISNUMBER(L16)),IF(L16=0,"Συνοδός με 0 €; Τον πληρώνει ο ανάδοχος (§4.3.2.2). ",""),"")&amp;IF(ISNUMBER(T16),IF(T16&lt;0,"Ζημιά και με 0%. ",""),"")&amp;IF(AND(N16="ΝΑΙ",NOT(ISNUMBER(O16))),"Λείπει η ημερομηνία απόφασης. ","")))</f>
        <v/>
      </c>
    </row>
    <row r="17">
      <c r="A17" t="n">
        <v>12</v>
      </c>
      <c r="B17" s="5" t="n"/>
      <c r="C17" s="5" t="n"/>
      <c r="D17" s="5" t="n"/>
      <c r="E17" s="5" t="n"/>
      <c r="F17" s="13" t="n"/>
      <c r="G17" s="5" t="n"/>
      <c r="H17" s="13" t="n"/>
      <c r="I17" s="5" t="n"/>
      <c r="J17" s="5" t="n"/>
      <c r="K17" s="5" t="n"/>
      <c r="L17" s="13" t="n"/>
      <c r="M17" s="5" t="n"/>
      <c r="N17" s="5" t="n"/>
      <c r="O17" s="6" t="n"/>
      <c r="P17" s="19">
        <f>AND(inputs_ok,C17&lt;&gt;"",OR(E17="ΝΑΙ",E17="ΟΧΙ"),ISNUMBER(F17),F17&gt;0,ISNUMBER(G17),G17&gt;0,ISNUMBER(H17),ISNUMBER(J17),ISNUMBER(K17),OR(E17="ΟΧΙ",ISNUMBER(L17)))</f>
        <v/>
      </c>
      <c r="Q17" s="10">
        <f>IF(P17,G17/years*paid_share,"")</f>
        <v/>
      </c>
      <c r="R17" s="20">
        <f>IF(P17,J17*(fuel_cons/100*fuel_price+wear)+IF(E17="ΝΑΙ",L17,0)+ins_year/Q17+K17*opp_rate+(2*bank_fee+bank_rate*Z17*gp_months/12)/(G17*paid_share),"")</f>
        <v/>
      </c>
      <c r="S17" s="16">
        <f>IF(P17,ded_rate+gg_rate*bank_rate*gg_months/12/paid_share,"")</f>
        <v/>
      </c>
      <c r="T17" s="20">
        <f>IF(P17,'Πλέγμα'!M6,"λείπουν στοιχεία")</f>
        <v/>
      </c>
      <c r="U17" s="20">
        <f>IF(P17,T17*Q17,"")</f>
        <v/>
      </c>
      <c r="V17" s="18">
        <f>IF(NOT(P17),"λείπουν στοιχεία",IF(T17&lt;0,"καμία: ζημιά και με 0%",_xlfn.MAXIFS('Πλέγμα'!$A$6:$A$105,'Πλέγμα'!M$6:M$105,"&gt;=0")))</f>
        <v/>
      </c>
      <c r="W17" s="20">
        <f>IF(OR(NOT(P17),M17=""),"",IF(AND(ISNUMBER(M17),M17=INT(M17),M17&gt;=0,M17&lt;=99),INDEX('Πλέγμα'!M$6:M$105,M17+1),"ακέραια έκπτωση 0–99"))</f>
        <v/>
      </c>
      <c r="X17" s="20">
        <f>IF(ISNUMBER(W17),W17*Q17,"")</f>
        <v/>
      </c>
      <c r="Y17" s="20">
        <f>IF(NOT(P17),"",IF(ISNUMBER(W17),W17,T17)-J17*fuel_cons/100*fuel_price*fuel_scn)</f>
        <v/>
      </c>
      <c r="Z17" s="20">
        <f>IF(ISNUMBER(H17),ROUNDUP(ROUND(ROUND(H17*100,0)*gp_rate,6),0)/100,"")</f>
        <v/>
      </c>
      <c r="AA17" s="20">
        <f>IF(AND(ISNUMBER(F17),ISNUMBER(G17)),ROUNDUP(ROUND(ROUND(ROUND(F17*100,0)*(100-IF(AND(ISNUMBER(M17),M17=INT(M17),M17&gt;=0,M17&lt;=99),M17,0))/100,0)*G17*gg_rate,6),0)/100,"")</f>
        <v/>
      </c>
      <c r="AB17" s="21">
        <f>IF(C17="","",TRIM(IF(AND(E17="ΝΑΙ",ISNUMBER(L17)),IF(L17=0,"Συνοδός με 0 €; Τον πληρώνει ο ανάδοχος (§4.3.2.2). ",""),"")&amp;IF(ISNUMBER(T17),IF(T17&lt;0,"Ζημιά και με 0%. ",""),"")&amp;IF(AND(N17="ΝΑΙ",NOT(ISNUMBER(O17))),"Λείπει η ημερομηνία απόφασης. ","")))</f>
        <v/>
      </c>
    </row>
    <row r="18">
      <c r="A18" t="n">
        <v>13</v>
      </c>
      <c r="B18" s="5" t="n"/>
      <c r="C18" s="5" t="n"/>
      <c r="D18" s="5" t="n"/>
      <c r="E18" s="5" t="n"/>
      <c r="F18" s="13" t="n"/>
      <c r="G18" s="5" t="n"/>
      <c r="H18" s="13" t="n"/>
      <c r="I18" s="5" t="n"/>
      <c r="J18" s="5" t="n"/>
      <c r="K18" s="5" t="n"/>
      <c r="L18" s="13" t="n"/>
      <c r="M18" s="5" t="n"/>
      <c r="N18" s="5" t="n"/>
      <c r="O18" s="6" t="n"/>
      <c r="P18" s="19">
        <f>AND(inputs_ok,C18&lt;&gt;"",OR(E18="ΝΑΙ",E18="ΟΧΙ"),ISNUMBER(F18),F18&gt;0,ISNUMBER(G18),G18&gt;0,ISNUMBER(H18),ISNUMBER(J18),ISNUMBER(K18),OR(E18="ΟΧΙ",ISNUMBER(L18)))</f>
        <v/>
      </c>
      <c r="Q18" s="10">
        <f>IF(P18,G18/years*paid_share,"")</f>
        <v/>
      </c>
      <c r="R18" s="20">
        <f>IF(P18,J18*(fuel_cons/100*fuel_price+wear)+IF(E18="ΝΑΙ",L18,0)+ins_year/Q18+K18*opp_rate+(2*bank_fee+bank_rate*Z18*gp_months/12)/(G18*paid_share),"")</f>
        <v/>
      </c>
      <c r="S18" s="16">
        <f>IF(P18,ded_rate+gg_rate*bank_rate*gg_months/12/paid_share,"")</f>
        <v/>
      </c>
      <c r="T18" s="20">
        <f>IF(P18,'Πλέγμα'!N6,"λείπουν στοιχεία")</f>
        <v/>
      </c>
      <c r="U18" s="20">
        <f>IF(P18,T18*Q18,"")</f>
        <v/>
      </c>
      <c r="V18" s="18">
        <f>IF(NOT(P18),"λείπουν στοιχεία",IF(T18&lt;0,"καμία: ζημιά και με 0%",_xlfn.MAXIFS('Πλέγμα'!$A$6:$A$105,'Πλέγμα'!N$6:N$105,"&gt;=0")))</f>
        <v/>
      </c>
      <c r="W18" s="20">
        <f>IF(OR(NOT(P18),M18=""),"",IF(AND(ISNUMBER(M18),M18=INT(M18),M18&gt;=0,M18&lt;=99),INDEX('Πλέγμα'!N$6:N$105,M18+1),"ακέραια έκπτωση 0–99"))</f>
        <v/>
      </c>
      <c r="X18" s="20">
        <f>IF(ISNUMBER(W18),W18*Q18,"")</f>
        <v/>
      </c>
      <c r="Y18" s="20">
        <f>IF(NOT(P18),"",IF(ISNUMBER(W18),W18,T18)-J18*fuel_cons/100*fuel_price*fuel_scn)</f>
        <v/>
      </c>
      <c r="Z18" s="20">
        <f>IF(ISNUMBER(H18),ROUNDUP(ROUND(ROUND(H18*100,0)*gp_rate,6),0)/100,"")</f>
        <v/>
      </c>
      <c r="AA18" s="20">
        <f>IF(AND(ISNUMBER(F18),ISNUMBER(G18)),ROUNDUP(ROUND(ROUND(ROUND(F18*100,0)*(100-IF(AND(ISNUMBER(M18),M18=INT(M18),M18&gt;=0,M18&lt;=99),M18,0))/100,0)*G18*gg_rate,6),0)/100,"")</f>
        <v/>
      </c>
      <c r="AB18" s="21">
        <f>IF(C18="","",TRIM(IF(AND(E18="ΝΑΙ",ISNUMBER(L18)),IF(L18=0,"Συνοδός με 0 €; Τον πληρώνει ο ανάδοχος (§4.3.2.2). ",""),"")&amp;IF(ISNUMBER(T18),IF(T18&lt;0,"Ζημιά και με 0%. ",""),"")&amp;IF(AND(N18="ΝΑΙ",NOT(ISNUMBER(O18))),"Λείπει η ημερομηνία απόφασης. ","")))</f>
        <v/>
      </c>
    </row>
    <row r="19">
      <c r="A19" t="n">
        <v>14</v>
      </c>
      <c r="B19" s="5" t="n"/>
      <c r="C19" s="5" t="n"/>
      <c r="D19" s="5" t="n"/>
      <c r="E19" s="5" t="n"/>
      <c r="F19" s="13" t="n"/>
      <c r="G19" s="5" t="n"/>
      <c r="H19" s="13" t="n"/>
      <c r="I19" s="5" t="n"/>
      <c r="J19" s="5" t="n"/>
      <c r="K19" s="5" t="n"/>
      <c r="L19" s="13" t="n"/>
      <c r="M19" s="5" t="n"/>
      <c r="N19" s="5" t="n"/>
      <c r="O19" s="6" t="n"/>
      <c r="P19" s="19">
        <f>AND(inputs_ok,C19&lt;&gt;"",OR(E19="ΝΑΙ",E19="ΟΧΙ"),ISNUMBER(F19),F19&gt;0,ISNUMBER(G19),G19&gt;0,ISNUMBER(H19),ISNUMBER(J19),ISNUMBER(K19),OR(E19="ΟΧΙ",ISNUMBER(L19)))</f>
        <v/>
      </c>
      <c r="Q19" s="10">
        <f>IF(P19,G19/years*paid_share,"")</f>
        <v/>
      </c>
      <c r="R19" s="20">
        <f>IF(P19,J19*(fuel_cons/100*fuel_price+wear)+IF(E19="ΝΑΙ",L19,0)+ins_year/Q19+K19*opp_rate+(2*bank_fee+bank_rate*Z19*gp_months/12)/(G19*paid_share),"")</f>
        <v/>
      </c>
      <c r="S19" s="16">
        <f>IF(P19,ded_rate+gg_rate*bank_rate*gg_months/12/paid_share,"")</f>
        <v/>
      </c>
      <c r="T19" s="20">
        <f>IF(P19,'Πλέγμα'!O6,"λείπουν στοιχεία")</f>
        <v/>
      </c>
      <c r="U19" s="20">
        <f>IF(P19,T19*Q19,"")</f>
        <v/>
      </c>
      <c r="V19" s="18">
        <f>IF(NOT(P19),"λείπουν στοιχεία",IF(T19&lt;0,"καμία: ζημιά και με 0%",_xlfn.MAXIFS('Πλέγμα'!$A$6:$A$105,'Πλέγμα'!O$6:O$105,"&gt;=0")))</f>
        <v/>
      </c>
      <c r="W19" s="20">
        <f>IF(OR(NOT(P19),M19=""),"",IF(AND(ISNUMBER(M19),M19=INT(M19),M19&gt;=0,M19&lt;=99),INDEX('Πλέγμα'!O$6:O$105,M19+1),"ακέραια έκπτωση 0–99"))</f>
        <v/>
      </c>
      <c r="X19" s="20">
        <f>IF(ISNUMBER(W19),W19*Q19,"")</f>
        <v/>
      </c>
      <c r="Y19" s="20">
        <f>IF(NOT(P19),"",IF(ISNUMBER(W19),W19,T19)-J19*fuel_cons/100*fuel_price*fuel_scn)</f>
        <v/>
      </c>
      <c r="Z19" s="20">
        <f>IF(ISNUMBER(H19),ROUNDUP(ROUND(ROUND(H19*100,0)*gp_rate,6),0)/100,"")</f>
        <v/>
      </c>
      <c r="AA19" s="20">
        <f>IF(AND(ISNUMBER(F19),ISNUMBER(G19)),ROUNDUP(ROUND(ROUND(ROUND(F19*100,0)*(100-IF(AND(ISNUMBER(M19),M19=INT(M19),M19&gt;=0,M19&lt;=99),M19,0))/100,0)*G19*gg_rate,6),0)/100,"")</f>
        <v/>
      </c>
      <c r="AB19" s="21">
        <f>IF(C19="","",TRIM(IF(AND(E19="ΝΑΙ",ISNUMBER(L19)),IF(L19=0,"Συνοδός με 0 €; Τον πληρώνει ο ανάδοχος (§4.3.2.2). ",""),"")&amp;IF(ISNUMBER(T19),IF(T19&lt;0,"Ζημιά και με 0%. ",""),"")&amp;IF(AND(N19="ΝΑΙ",NOT(ISNUMBER(O19))),"Λείπει η ημερομηνία απόφασης. ","")))</f>
        <v/>
      </c>
    </row>
    <row r="20">
      <c r="A20" t="n">
        <v>15</v>
      </c>
      <c r="B20" s="5" t="n"/>
      <c r="C20" s="5" t="n"/>
      <c r="D20" s="5" t="n"/>
      <c r="E20" s="5" t="n"/>
      <c r="F20" s="13" t="n"/>
      <c r="G20" s="5" t="n"/>
      <c r="H20" s="13" t="n"/>
      <c r="I20" s="5" t="n"/>
      <c r="J20" s="5" t="n"/>
      <c r="K20" s="5" t="n"/>
      <c r="L20" s="13" t="n"/>
      <c r="M20" s="5" t="n"/>
      <c r="N20" s="5" t="n"/>
      <c r="O20" s="6" t="n"/>
      <c r="P20" s="19">
        <f>AND(inputs_ok,C20&lt;&gt;"",OR(E20="ΝΑΙ",E20="ΟΧΙ"),ISNUMBER(F20),F20&gt;0,ISNUMBER(G20),G20&gt;0,ISNUMBER(H20),ISNUMBER(J20),ISNUMBER(K20),OR(E20="ΟΧΙ",ISNUMBER(L20)))</f>
        <v/>
      </c>
      <c r="Q20" s="10">
        <f>IF(P20,G20/years*paid_share,"")</f>
        <v/>
      </c>
      <c r="R20" s="20">
        <f>IF(P20,J20*(fuel_cons/100*fuel_price+wear)+IF(E20="ΝΑΙ",L20,0)+ins_year/Q20+K20*opp_rate+(2*bank_fee+bank_rate*Z20*gp_months/12)/(G20*paid_share),"")</f>
        <v/>
      </c>
      <c r="S20" s="16">
        <f>IF(P20,ded_rate+gg_rate*bank_rate*gg_months/12/paid_share,"")</f>
        <v/>
      </c>
      <c r="T20" s="20">
        <f>IF(P20,'Πλέγμα'!P6,"λείπουν στοιχεία")</f>
        <v/>
      </c>
      <c r="U20" s="20">
        <f>IF(P20,T20*Q20,"")</f>
        <v/>
      </c>
      <c r="V20" s="18">
        <f>IF(NOT(P20),"λείπουν στοιχεία",IF(T20&lt;0,"καμία: ζημιά και με 0%",_xlfn.MAXIFS('Πλέγμα'!$A$6:$A$105,'Πλέγμα'!P$6:P$105,"&gt;=0")))</f>
        <v/>
      </c>
      <c r="W20" s="20">
        <f>IF(OR(NOT(P20),M20=""),"",IF(AND(ISNUMBER(M20),M20=INT(M20),M20&gt;=0,M20&lt;=99),INDEX('Πλέγμα'!P$6:P$105,M20+1),"ακέραια έκπτωση 0–99"))</f>
        <v/>
      </c>
      <c r="X20" s="20">
        <f>IF(ISNUMBER(W20),W20*Q20,"")</f>
        <v/>
      </c>
      <c r="Y20" s="20">
        <f>IF(NOT(P20),"",IF(ISNUMBER(W20),W20,T20)-J20*fuel_cons/100*fuel_price*fuel_scn)</f>
        <v/>
      </c>
      <c r="Z20" s="20">
        <f>IF(ISNUMBER(H20),ROUNDUP(ROUND(ROUND(H20*100,0)*gp_rate,6),0)/100,"")</f>
        <v/>
      </c>
      <c r="AA20" s="20">
        <f>IF(AND(ISNUMBER(F20),ISNUMBER(G20)),ROUNDUP(ROUND(ROUND(ROUND(F20*100,0)*(100-IF(AND(ISNUMBER(M20),M20=INT(M20),M20&gt;=0,M20&lt;=99),M20,0))/100,0)*G20*gg_rate,6),0)/100,"")</f>
        <v/>
      </c>
      <c r="AB20" s="21">
        <f>IF(C20="","",TRIM(IF(AND(E20="ΝΑΙ",ISNUMBER(L20)),IF(L20=0,"Συνοδός με 0 €; Τον πληρώνει ο ανάδοχος (§4.3.2.2). ",""),"")&amp;IF(ISNUMBER(T20),IF(T20&lt;0,"Ζημιά και με 0%. ",""),"")&amp;IF(AND(N20="ΝΑΙ",NOT(ISNUMBER(O20))),"Λείπει η ημερομηνία απόφασης. ","")))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2">
    <mergeCell ref="A3:AB3"/>
    <mergeCell ref="A2:AB2"/>
  </mergeCells>
  <conditionalFormatting sqref="T6:T20">
    <cfRule type="cellIs" priority="1" operator="lessThan" dxfId="0">
      <formula>0</formula>
    </cfRule>
  </conditionalFormatting>
  <conditionalFormatting sqref="U6:U20">
    <cfRule type="cellIs" priority="2" operator="lessThan" dxfId="0">
      <formula>0</formula>
    </cfRule>
  </conditionalFormatting>
  <conditionalFormatting sqref="W6:W20">
    <cfRule type="cellIs" priority="3" operator="lessThan" dxfId="0">
      <formula>0</formula>
    </cfRule>
  </conditionalFormatting>
  <conditionalFormatting sqref="X6:X20">
    <cfRule type="cellIs" priority="4" operator="lessThan" dxfId="0">
      <formula>0</formula>
    </cfRule>
  </conditionalFormatting>
  <conditionalFormatting sqref="Y6:Y20">
    <cfRule type="cellIs" priority="5" operator="lessThan" dxfId="0">
      <formula>0</formula>
    </cfRule>
  </conditionalFormatting>
  <conditionalFormatting sqref="V6:V20">
    <cfRule type="expression" priority="6" dxfId="0">
      <formula>LEFT(V6,5)="καμία"</formula>
    </cfRule>
  </conditionalFormatting>
  <dataValidations count="4">
    <dataValidation sqref="E6:E20" showDropDown="0" showInputMessage="0" showErrorMessage="0" allowBlank="1" type="list" errorStyle="stop">
      <formula1>"ΝΑΙ,ΟΧΙ"</formula1>
    </dataValidation>
    <dataValidation sqref="I6:I20" showDropDown="0" showInputMessage="0" showErrorMessage="0" allowBlank="1" type="list" errorStyle="stop">
      <formula1>"ΝΑΙ,ΟΧΙ,ΑΓΝΩΣΤΟ"</formula1>
    </dataValidation>
    <dataValidation sqref="N6:N20" showDropDown="0" showInputMessage="0" showErrorMessage="0" allowBlank="1" type="list" errorStyle="stop">
      <formula1>"ΝΑΙ,ΟΧΙ"</formula1>
    </dataValidation>
    <dataValidation sqref="M6:M20" showDropDown="0" showInputMessage="0" showErrorMessage="0" allowBlank="0" errorTitle="Έκπτωση" error="Ακέραια έκπτωση από 0 ως 99 (§4.3.2.1)" type="whole" errorStyle="warning" operator="between">
      <formula1>0</formula1>
      <formula2>99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0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22" customWidth="1" min="17" max="17"/>
  </cols>
  <sheetData>
    <row r="1">
      <c r="A1" s="3" t="inlineStr">
        <is>
          <t>Πλέγμα: καθαρό ανά ημέρα (€) για κάθε ακέραια έκπτωση</t>
        </is>
      </c>
    </row>
    <row r="2">
      <c r="A2" t="inlineStr">
        <is>
          <t>Δεν αλλάζεις τίποτα εδώ. Κάθε στήλη είναι μία γραμμή του φύλλου Δρομολόγια, με την ίδια σειρά. Κόκκινο = ζημιά.</t>
        </is>
      </c>
    </row>
    <row r="4">
      <c r="B4" s="19">
        <f>IF('Δρομολόγια'!C6="","",'Δρομολόγια'!C6)</f>
        <v/>
      </c>
      <c r="C4" s="19">
        <f>IF('Δρομολόγια'!C7="","",'Δρομολόγια'!C7)</f>
        <v/>
      </c>
      <c r="D4" s="19">
        <f>IF('Δρομολόγια'!C8="","",'Δρομολόγια'!C8)</f>
        <v/>
      </c>
      <c r="E4" s="19">
        <f>IF('Δρομολόγια'!C9="","",'Δρομολόγια'!C9)</f>
        <v/>
      </c>
      <c r="F4" s="19">
        <f>IF('Δρομολόγια'!C10="","",'Δρομολόγια'!C10)</f>
        <v/>
      </c>
      <c r="G4" s="19">
        <f>IF('Δρομολόγια'!C11="","",'Δρομολόγια'!C11)</f>
        <v/>
      </c>
      <c r="H4" s="19">
        <f>IF('Δρομολόγια'!C12="","",'Δρομολόγια'!C12)</f>
        <v/>
      </c>
      <c r="I4" s="19">
        <f>IF('Δρομολόγια'!C13="","",'Δρομολόγια'!C13)</f>
        <v/>
      </c>
      <c r="J4" s="19">
        <f>IF('Δρομολόγια'!C14="","",'Δρομολόγια'!C14)</f>
        <v/>
      </c>
      <c r="K4" s="19">
        <f>IF('Δρομολόγια'!C15="","",'Δρομολόγια'!C15)</f>
        <v/>
      </c>
      <c r="L4" s="19">
        <f>IF('Δρομολόγια'!C16="","",'Δρομολόγια'!C16)</f>
        <v/>
      </c>
      <c r="M4" s="19">
        <f>IF('Δρομολόγια'!C17="","",'Δρομολόγια'!C17)</f>
        <v/>
      </c>
      <c r="N4" s="19">
        <f>IF('Δρομολόγια'!C18="","",'Δρομολόγια'!C18)</f>
        <v/>
      </c>
      <c r="O4" s="19">
        <f>IF('Δρομολόγια'!C19="","",'Δρομολόγια'!C19)</f>
        <v/>
      </c>
      <c r="P4" s="19">
        <f>IF('Δρομολόγια'!C20="","",'Δρομολόγια'!C20)</f>
        <v/>
      </c>
    </row>
    <row r="5" ht="20" customHeight="1">
      <c r="A5" s="4" t="inlineStr">
        <is>
          <t>Έκπτωση %</t>
        </is>
      </c>
      <c r="B5" s="4" t="inlineStr">
        <is>
          <t>#1</t>
        </is>
      </c>
      <c r="C5" s="4" t="inlineStr">
        <is>
          <t>#2</t>
        </is>
      </c>
      <c r="D5" s="4" t="inlineStr">
        <is>
          <t>#3</t>
        </is>
      </c>
      <c r="E5" s="4" t="inlineStr">
        <is>
          <t>#4</t>
        </is>
      </c>
      <c r="F5" s="4" t="inlineStr">
        <is>
          <t>#5</t>
        </is>
      </c>
      <c r="G5" s="4" t="inlineStr">
        <is>
          <t>#6</t>
        </is>
      </c>
      <c r="H5" s="4" t="inlineStr">
        <is>
          <t>#7</t>
        </is>
      </c>
      <c r="I5" s="4" t="inlineStr">
        <is>
          <t>#8</t>
        </is>
      </c>
      <c r="J5" s="4" t="inlineStr">
        <is>
          <t>#9</t>
        </is>
      </c>
      <c r="K5" s="4" t="inlineStr">
        <is>
          <t>#10</t>
        </is>
      </c>
      <c r="L5" s="4" t="inlineStr">
        <is>
          <t>#11</t>
        </is>
      </c>
      <c r="M5" s="4" t="inlineStr">
        <is>
          <t>#12</t>
        </is>
      </c>
      <c r="N5" s="4" t="inlineStr">
        <is>
          <t>#13</t>
        </is>
      </c>
      <c r="O5" s="4" t="inlineStr">
        <is>
          <t>#14</t>
        </is>
      </c>
      <c r="P5" s="4" t="inlineStr">
        <is>
          <t>#15</t>
        </is>
      </c>
      <c r="Q5" s="4" t="inlineStr">
        <is>
          <t>Ολογράφως (για το Υπόδειγμα)</t>
        </is>
      </c>
    </row>
    <row r="6">
      <c r="A6" t="n">
        <v>0</v>
      </c>
      <c r="B6" s="20">
        <f>IF('Δρομολόγια'!$P$6,ROUND(ROUND('Δρομολόγια'!$F$6*100,0)*(100-$A6)/100,0)/100*(1-'Δρομολόγια'!$S$6)-'Δρομολόγια'!$R$6,"")</f>
        <v/>
      </c>
      <c r="C6" s="20">
        <f>IF('Δρομολόγια'!$P$7,ROUND(ROUND('Δρομολόγια'!$F$7*100,0)*(100-$A6)/100,0)/100*(1-'Δρομολόγια'!$S$7)-'Δρομολόγια'!$R$7,"")</f>
        <v/>
      </c>
      <c r="D6" s="20">
        <f>IF('Δρομολόγια'!$P$8,ROUND(ROUND('Δρομολόγια'!$F$8*100,0)*(100-$A6)/100,0)/100*(1-'Δρομολόγια'!$S$8)-'Δρομολόγια'!$R$8,"")</f>
        <v/>
      </c>
      <c r="E6" s="20">
        <f>IF('Δρομολόγια'!$P$9,ROUND(ROUND('Δρομολόγια'!$F$9*100,0)*(100-$A6)/100,0)/100*(1-'Δρομολόγια'!$S$9)-'Δρομολόγια'!$R$9,"")</f>
        <v/>
      </c>
      <c r="F6" s="20">
        <f>IF('Δρομολόγια'!$P$10,ROUND(ROUND('Δρομολόγια'!$F$10*100,0)*(100-$A6)/100,0)/100*(1-'Δρομολόγια'!$S$10)-'Δρομολόγια'!$R$10,"")</f>
        <v/>
      </c>
      <c r="G6" s="20">
        <f>IF('Δρομολόγια'!$P$11,ROUND(ROUND('Δρομολόγια'!$F$11*100,0)*(100-$A6)/100,0)/100*(1-'Δρομολόγια'!$S$11)-'Δρομολόγια'!$R$11,"")</f>
        <v/>
      </c>
      <c r="H6" s="20">
        <f>IF('Δρομολόγια'!$P$12,ROUND(ROUND('Δρομολόγια'!$F$12*100,0)*(100-$A6)/100,0)/100*(1-'Δρομολόγια'!$S$12)-'Δρομολόγια'!$R$12,"")</f>
        <v/>
      </c>
      <c r="I6" s="20">
        <f>IF('Δρομολόγια'!$P$13,ROUND(ROUND('Δρομολόγια'!$F$13*100,0)*(100-$A6)/100,0)/100*(1-'Δρομολόγια'!$S$13)-'Δρομολόγια'!$R$13,"")</f>
        <v/>
      </c>
      <c r="J6" s="20">
        <f>IF('Δρομολόγια'!$P$14,ROUND(ROUND('Δρομολόγια'!$F$14*100,0)*(100-$A6)/100,0)/100*(1-'Δρομολόγια'!$S$14)-'Δρομολόγια'!$R$14,"")</f>
        <v/>
      </c>
      <c r="K6" s="20">
        <f>IF('Δρομολόγια'!$P$15,ROUND(ROUND('Δρομολόγια'!$F$15*100,0)*(100-$A6)/100,0)/100*(1-'Δρομολόγια'!$S$15)-'Δρομολόγια'!$R$15,"")</f>
        <v/>
      </c>
      <c r="L6" s="20">
        <f>IF('Δρομολόγια'!$P$16,ROUND(ROUND('Δρομολόγια'!$F$16*100,0)*(100-$A6)/100,0)/100*(1-'Δρομολόγια'!$S$16)-'Δρομολόγια'!$R$16,"")</f>
        <v/>
      </c>
      <c r="M6" s="20">
        <f>IF('Δρομολόγια'!$P$17,ROUND(ROUND('Δρομολόγια'!$F$17*100,0)*(100-$A6)/100,0)/100*(1-'Δρομολόγια'!$S$17)-'Δρομολόγια'!$R$17,"")</f>
        <v/>
      </c>
      <c r="N6" s="20">
        <f>IF('Δρομολόγια'!$P$18,ROUND(ROUND('Δρομολόγια'!$F$18*100,0)*(100-$A6)/100,0)/100*(1-'Δρομολόγια'!$S$18)-'Δρομολόγια'!$R$18,"")</f>
        <v/>
      </c>
      <c r="O6" s="20">
        <f>IF('Δρομολόγια'!$P$19,ROUND(ROUND('Δρομολόγια'!$F$19*100,0)*(100-$A6)/100,0)/100*(1-'Δρομολόγια'!$S$19)-'Δρομολόγια'!$R$19,"")</f>
        <v/>
      </c>
      <c r="P6" s="20">
        <f>IF('Δρομολόγια'!$P$20,ROUND(ROUND('Δρομολόγια'!$F$20*100,0)*(100-$A6)/100,0)/100*(1-'Δρομολόγια'!$S$20)-'Δρομολόγια'!$R$20,"")</f>
        <v/>
      </c>
      <c r="Q6" t="inlineStr">
        <is>
          <t>μηδέν</t>
        </is>
      </c>
    </row>
    <row r="7">
      <c r="A7" t="n">
        <v>1</v>
      </c>
      <c r="B7" s="20">
        <f>IF('Δρομολόγια'!$P$6,ROUND(ROUND('Δρομολόγια'!$F$6*100,0)*(100-$A7)/100,0)/100*(1-'Δρομολόγια'!$S$6)-'Δρομολόγια'!$R$6,"")</f>
        <v/>
      </c>
      <c r="C7" s="20">
        <f>IF('Δρομολόγια'!$P$7,ROUND(ROUND('Δρομολόγια'!$F$7*100,0)*(100-$A7)/100,0)/100*(1-'Δρομολόγια'!$S$7)-'Δρομολόγια'!$R$7,"")</f>
        <v/>
      </c>
      <c r="D7" s="20">
        <f>IF('Δρομολόγια'!$P$8,ROUND(ROUND('Δρομολόγια'!$F$8*100,0)*(100-$A7)/100,0)/100*(1-'Δρομολόγια'!$S$8)-'Δρομολόγια'!$R$8,"")</f>
        <v/>
      </c>
      <c r="E7" s="20">
        <f>IF('Δρομολόγια'!$P$9,ROUND(ROUND('Δρομολόγια'!$F$9*100,0)*(100-$A7)/100,0)/100*(1-'Δρομολόγια'!$S$9)-'Δρομολόγια'!$R$9,"")</f>
        <v/>
      </c>
      <c r="F7" s="20">
        <f>IF('Δρομολόγια'!$P$10,ROUND(ROUND('Δρομολόγια'!$F$10*100,0)*(100-$A7)/100,0)/100*(1-'Δρομολόγια'!$S$10)-'Δρομολόγια'!$R$10,"")</f>
        <v/>
      </c>
      <c r="G7" s="20">
        <f>IF('Δρομολόγια'!$P$11,ROUND(ROUND('Δρομολόγια'!$F$11*100,0)*(100-$A7)/100,0)/100*(1-'Δρομολόγια'!$S$11)-'Δρομολόγια'!$R$11,"")</f>
        <v/>
      </c>
      <c r="H7" s="20">
        <f>IF('Δρομολόγια'!$P$12,ROUND(ROUND('Δρομολόγια'!$F$12*100,0)*(100-$A7)/100,0)/100*(1-'Δρομολόγια'!$S$12)-'Δρομολόγια'!$R$12,"")</f>
        <v/>
      </c>
      <c r="I7" s="20">
        <f>IF('Δρομολόγια'!$P$13,ROUND(ROUND('Δρομολόγια'!$F$13*100,0)*(100-$A7)/100,0)/100*(1-'Δρομολόγια'!$S$13)-'Δρομολόγια'!$R$13,"")</f>
        <v/>
      </c>
      <c r="J7" s="20">
        <f>IF('Δρομολόγια'!$P$14,ROUND(ROUND('Δρομολόγια'!$F$14*100,0)*(100-$A7)/100,0)/100*(1-'Δρομολόγια'!$S$14)-'Δρομολόγια'!$R$14,"")</f>
        <v/>
      </c>
      <c r="K7" s="20">
        <f>IF('Δρομολόγια'!$P$15,ROUND(ROUND('Δρομολόγια'!$F$15*100,0)*(100-$A7)/100,0)/100*(1-'Δρομολόγια'!$S$15)-'Δρομολόγια'!$R$15,"")</f>
        <v/>
      </c>
      <c r="L7" s="20">
        <f>IF('Δρομολόγια'!$P$16,ROUND(ROUND('Δρομολόγια'!$F$16*100,0)*(100-$A7)/100,0)/100*(1-'Δρομολόγια'!$S$16)-'Δρομολόγια'!$R$16,"")</f>
        <v/>
      </c>
      <c r="M7" s="20">
        <f>IF('Δρομολόγια'!$P$17,ROUND(ROUND('Δρομολόγια'!$F$17*100,0)*(100-$A7)/100,0)/100*(1-'Δρομολόγια'!$S$17)-'Δρομολόγια'!$R$17,"")</f>
        <v/>
      </c>
      <c r="N7" s="20">
        <f>IF('Δρομολόγια'!$P$18,ROUND(ROUND('Δρομολόγια'!$F$18*100,0)*(100-$A7)/100,0)/100*(1-'Δρομολόγια'!$S$18)-'Δρομολόγια'!$R$18,"")</f>
        <v/>
      </c>
      <c r="O7" s="20">
        <f>IF('Δρομολόγια'!$P$19,ROUND(ROUND('Δρομολόγια'!$F$19*100,0)*(100-$A7)/100,0)/100*(1-'Δρομολόγια'!$S$19)-'Δρομολόγια'!$R$19,"")</f>
        <v/>
      </c>
      <c r="P7" s="20">
        <f>IF('Δρομολόγια'!$P$20,ROUND(ROUND('Δρομολόγια'!$F$20*100,0)*(100-$A7)/100,0)/100*(1-'Δρομολόγια'!$S$20)-'Δρομολόγια'!$R$20,"")</f>
        <v/>
      </c>
      <c r="Q7" t="inlineStr">
        <is>
          <t>ένα</t>
        </is>
      </c>
    </row>
    <row r="8">
      <c r="A8" t="n">
        <v>2</v>
      </c>
      <c r="B8" s="20">
        <f>IF('Δρομολόγια'!$P$6,ROUND(ROUND('Δρομολόγια'!$F$6*100,0)*(100-$A8)/100,0)/100*(1-'Δρομολόγια'!$S$6)-'Δρομολόγια'!$R$6,"")</f>
        <v/>
      </c>
      <c r="C8" s="20">
        <f>IF('Δρομολόγια'!$P$7,ROUND(ROUND('Δρομολόγια'!$F$7*100,0)*(100-$A8)/100,0)/100*(1-'Δρομολόγια'!$S$7)-'Δρομολόγια'!$R$7,"")</f>
        <v/>
      </c>
      <c r="D8" s="20">
        <f>IF('Δρομολόγια'!$P$8,ROUND(ROUND('Δρομολόγια'!$F$8*100,0)*(100-$A8)/100,0)/100*(1-'Δρομολόγια'!$S$8)-'Δρομολόγια'!$R$8,"")</f>
        <v/>
      </c>
      <c r="E8" s="20">
        <f>IF('Δρομολόγια'!$P$9,ROUND(ROUND('Δρομολόγια'!$F$9*100,0)*(100-$A8)/100,0)/100*(1-'Δρομολόγια'!$S$9)-'Δρομολόγια'!$R$9,"")</f>
        <v/>
      </c>
      <c r="F8" s="20">
        <f>IF('Δρομολόγια'!$P$10,ROUND(ROUND('Δρομολόγια'!$F$10*100,0)*(100-$A8)/100,0)/100*(1-'Δρομολόγια'!$S$10)-'Δρομολόγια'!$R$10,"")</f>
        <v/>
      </c>
      <c r="G8" s="20">
        <f>IF('Δρομολόγια'!$P$11,ROUND(ROUND('Δρομολόγια'!$F$11*100,0)*(100-$A8)/100,0)/100*(1-'Δρομολόγια'!$S$11)-'Δρομολόγια'!$R$11,"")</f>
        <v/>
      </c>
      <c r="H8" s="20">
        <f>IF('Δρομολόγια'!$P$12,ROUND(ROUND('Δρομολόγια'!$F$12*100,0)*(100-$A8)/100,0)/100*(1-'Δρομολόγια'!$S$12)-'Δρομολόγια'!$R$12,"")</f>
        <v/>
      </c>
      <c r="I8" s="20">
        <f>IF('Δρομολόγια'!$P$13,ROUND(ROUND('Δρομολόγια'!$F$13*100,0)*(100-$A8)/100,0)/100*(1-'Δρομολόγια'!$S$13)-'Δρομολόγια'!$R$13,"")</f>
        <v/>
      </c>
      <c r="J8" s="20">
        <f>IF('Δρομολόγια'!$P$14,ROUND(ROUND('Δρομολόγια'!$F$14*100,0)*(100-$A8)/100,0)/100*(1-'Δρομολόγια'!$S$14)-'Δρομολόγια'!$R$14,"")</f>
        <v/>
      </c>
      <c r="K8" s="20">
        <f>IF('Δρομολόγια'!$P$15,ROUND(ROUND('Δρομολόγια'!$F$15*100,0)*(100-$A8)/100,0)/100*(1-'Δρομολόγια'!$S$15)-'Δρομολόγια'!$R$15,"")</f>
        <v/>
      </c>
      <c r="L8" s="20">
        <f>IF('Δρομολόγια'!$P$16,ROUND(ROUND('Δρομολόγια'!$F$16*100,0)*(100-$A8)/100,0)/100*(1-'Δρομολόγια'!$S$16)-'Δρομολόγια'!$R$16,"")</f>
        <v/>
      </c>
      <c r="M8" s="20">
        <f>IF('Δρομολόγια'!$P$17,ROUND(ROUND('Δρομολόγια'!$F$17*100,0)*(100-$A8)/100,0)/100*(1-'Δρομολόγια'!$S$17)-'Δρομολόγια'!$R$17,"")</f>
        <v/>
      </c>
      <c r="N8" s="20">
        <f>IF('Δρομολόγια'!$P$18,ROUND(ROUND('Δρομολόγια'!$F$18*100,0)*(100-$A8)/100,0)/100*(1-'Δρομολόγια'!$S$18)-'Δρομολόγια'!$R$18,"")</f>
        <v/>
      </c>
      <c r="O8" s="20">
        <f>IF('Δρομολόγια'!$P$19,ROUND(ROUND('Δρομολόγια'!$F$19*100,0)*(100-$A8)/100,0)/100*(1-'Δρομολόγια'!$S$19)-'Δρομολόγια'!$R$19,"")</f>
        <v/>
      </c>
      <c r="P8" s="20">
        <f>IF('Δρομολόγια'!$P$20,ROUND(ROUND('Δρομολόγια'!$F$20*100,0)*(100-$A8)/100,0)/100*(1-'Δρομολόγια'!$S$20)-'Δρομολόγια'!$R$20,"")</f>
        <v/>
      </c>
      <c r="Q8" t="inlineStr">
        <is>
          <t>δύο</t>
        </is>
      </c>
    </row>
    <row r="9">
      <c r="A9" t="n">
        <v>3</v>
      </c>
      <c r="B9" s="20">
        <f>IF('Δρομολόγια'!$P$6,ROUND(ROUND('Δρομολόγια'!$F$6*100,0)*(100-$A9)/100,0)/100*(1-'Δρομολόγια'!$S$6)-'Δρομολόγια'!$R$6,"")</f>
        <v/>
      </c>
      <c r="C9" s="20">
        <f>IF('Δρομολόγια'!$P$7,ROUND(ROUND('Δρομολόγια'!$F$7*100,0)*(100-$A9)/100,0)/100*(1-'Δρομολόγια'!$S$7)-'Δρομολόγια'!$R$7,"")</f>
        <v/>
      </c>
      <c r="D9" s="20">
        <f>IF('Δρομολόγια'!$P$8,ROUND(ROUND('Δρομολόγια'!$F$8*100,0)*(100-$A9)/100,0)/100*(1-'Δρομολόγια'!$S$8)-'Δρομολόγια'!$R$8,"")</f>
        <v/>
      </c>
      <c r="E9" s="20">
        <f>IF('Δρομολόγια'!$P$9,ROUND(ROUND('Δρομολόγια'!$F$9*100,0)*(100-$A9)/100,0)/100*(1-'Δρομολόγια'!$S$9)-'Δρομολόγια'!$R$9,"")</f>
        <v/>
      </c>
      <c r="F9" s="20">
        <f>IF('Δρομολόγια'!$P$10,ROUND(ROUND('Δρομολόγια'!$F$10*100,0)*(100-$A9)/100,0)/100*(1-'Δρομολόγια'!$S$10)-'Δρομολόγια'!$R$10,"")</f>
        <v/>
      </c>
      <c r="G9" s="20">
        <f>IF('Δρομολόγια'!$P$11,ROUND(ROUND('Δρομολόγια'!$F$11*100,0)*(100-$A9)/100,0)/100*(1-'Δρομολόγια'!$S$11)-'Δρομολόγια'!$R$11,"")</f>
        <v/>
      </c>
      <c r="H9" s="20">
        <f>IF('Δρομολόγια'!$P$12,ROUND(ROUND('Δρομολόγια'!$F$12*100,0)*(100-$A9)/100,0)/100*(1-'Δρομολόγια'!$S$12)-'Δρομολόγια'!$R$12,"")</f>
        <v/>
      </c>
      <c r="I9" s="20">
        <f>IF('Δρομολόγια'!$P$13,ROUND(ROUND('Δρομολόγια'!$F$13*100,0)*(100-$A9)/100,0)/100*(1-'Δρομολόγια'!$S$13)-'Δρομολόγια'!$R$13,"")</f>
        <v/>
      </c>
      <c r="J9" s="20">
        <f>IF('Δρομολόγια'!$P$14,ROUND(ROUND('Δρομολόγια'!$F$14*100,0)*(100-$A9)/100,0)/100*(1-'Δρομολόγια'!$S$14)-'Δρομολόγια'!$R$14,"")</f>
        <v/>
      </c>
      <c r="K9" s="20">
        <f>IF('Δρομολόγια'!$P$15,ROUND(ROUND('Δρομολόγια'!$F$15*100,0)*(100-$A9)/100,0)/100*(1-'Δρομολόγια'!$S$15)-'Δρομολόγια'!$R$15,"")</f>
        <v/>
      </c>
      <c r="L9" s="20">
        <f>IF('Δρομολόγια'!$P$16,ROUND(ROUND('Δρομολόγια'!$F$16*100,0)*(100-$A9)/100,0)/100*(1-'Δρομολόγια'!$S$16)-'Δρομολόγια'!$R$16,"")</f>
        <v/>
      </c>
      <c r="M9" s="20">
        <f>IF('Δρομολόγια'!$P$17,ROUND(ROUND('Δρομολόγια'!$F$17*100,0)*(100-$A9)/100,0)/100*(1-'Δρομολόγια'!$S$17)-'Δρομολόγια'!$R$17,"")</f>
        <v/>
      </c>
      <c r="N9" s="20">
        <f>IF('Δρομολόγια'!$P$18,ROUND(ROUND('Δρομολόγια'!$F$18*100,0)*(100-$A9)/100,0)/100*(1-'Δρομολόγια'!$S$18)-'Δρομολόγια'!$R$18,"")</f>
        <v/>
      </c>
      <c r="O9" s="20">
        <f>IF('Δρομολόγια'!$P$19,ROUND(ROUND('Δρομολόγια'!$F$19*100,0)*(100-$A9)/100,0)/100*(1-'Δρομολόγια'!$S$19)-'Δρομολόγια'!$R$19,"")</f>
        <v/>
      </c>
      <c r="P9" s="20">
        <f>IF('Δρομολόγια'!$P$20,ROUND(ROUND('Δρομολόγια'!$F$20*100,0)*(100-$A9)/100,0)/100*(1-'Δρομολόγια'!$S$20)-'Δρομολόγια'!$R$20,"")</f>
        <v/>
      </c>
      <c r="Q9" t="inlineStr">
        <is>
          <t>τρία</t>
        </is>
      </c>
    </row>
    <row r="10">
      <c r="A10" t="n">
        <v>4</v>
      </c>
      <c r="B10" s="20">
        <f>IF('Δρομολόγια'!$P$6,ROUND(ROUND('Δρομολόγια'!$F$6*100,0)*(100-$A10)/100,0)/100*(1-'Δρομολόγια'!$S$6)-'Δρομολόγια'!$R$6,"")</f>
        <v/>
      </c>
      <c r="C10" s="20">
        <f>IF('Δρομολόγια'!$P$7,ROUND(ROUND('Δρομολόγια'!$F$7*100,0)*(100-$A10)/100,0)/100*(1-'Δρομολόγια'!$S$7)-'Δρομολόγια'!$R$7,"")</f>
        <v/>
      </c>
      <c r="D10" s="20">
        <f>IF('Δρομολόγια'!$P$8,ROUND(ROUND('Δρομολόγια'!$F$8*100,0)*(100-$A10)/100,0)/100*(1-'Δρομολόγια'!$S$8)-'Δρομολόγια'!$R$8,"")</f>
        <v/>
      </c>
      <c r="E10" s="20">
        <f>IF('Δρομολόγια'!$P$9,ROUND(ROUND('Δρομολόγια'!$F$9*100,0)*(100-$A10)/100,0)/100*(1-'Δρομολόγια'!$S$9)-'Δρομολόγια'!$R$9,"")</f>
        <v/>
      </c>
      <c r="F10" s="20">
        <f>IF('Δρομολόγια'!$P$10,ROUND(ROUND('Δρομολόγια'!$F$10*100,0)*(100-$A10)/100,0)/100*(1-'Δρομολόγια'!$S$10)-'Δρομολόγια'!$R$10,"")</f>
        <v/>
      </c>
      <c r="G10" s="20">
        <f>IF('Δρομολόγια'!$P$11,ROUND(ROUND('Δρομολόγια'!$F$11*100,0)*(100-$A10)/100,0)/100*(1-'Δρομολόγια'!$S$11)-'Δρομολόγια'!$R$11,"")</f>
        <v/>
      </c>
      <c r="H10" s="20">
        <f>IF('Δρομολόγια'!$P$12,ROUND(ROUND('Δρομολόγια'!$F$12*100,0)*(100-$A10)/100,0)/100*(1-'Δρομολόγια'!$S$12)-'Δρομολόγια'!$R$12,"")</f>
        <v/>
      </c>
      <c r="I10" s="20">
        <f>IF('Δρομολόγια'!$P$13,ROUND(ROUND('Δρομολόγια'!$F$13*100,0)*(100-$A10)/100,0)/100*(1-'Δρομολόγια'!$S$13)-'Δρομολόγια'!$R$13,"")</f>
        <v/>
      </c>
      <c r="J10" s="20">
        <f>IF('Δρομολόγια'!$P$14,ROUND(ROUND('Δρομολόγια'!$F$14*100,0)*(100-$A10)/100,0)/100*(1-'Δρομολόγια'!$S$14)-'Δρομολόγια'!$R$14,"")</f>
        <v/>
      </c>
      <c r="K10" s="20">
        <f>IF('Δρομολόγια'!$P$15,ROUND(ROUND('Δρομολόγια'!$F$15*100,0)*(100-$A10)/100,0)/100*(1-'Δρομολόγια'!$S$15)-'Δρομολόγια'!$R$15,"")</f>
        <v/>
      </c>
      <c r="L10" s="20">
        <f>IF('Δρομολόγια'!$P$16,ROUND(ROUND('Δρομολόγια'!$F$16*100,0)*(100-$A10)/100,0)/100*(1-'Δρομολόγια'!$S$16)-'Δρομολόγια'!$R$16,"")</f>
        <v/>
      </c>
      <c r="M10" s="20">
        <f>IF('Δρομολόγια'!$P$17,ROUND(ROUND('Δρομολόγια'!$F$17*100,0)*(100-$A10)/100,0)/100*(1-'Δρομολόγια'!$S$17)-'Δρομολόγια'!$R$17,"")</f>
        <v/>
      </c>
      <c r="N10" s="20">
        <f>IF('Δρομολόγια'!$P$18,ROUND(ROUND('Δρομολόγια'!$F$18*100,0)*(100-$A10)/100,0)/100*(1-'Δρομολόγια'!$S$18)-'Δρομολόγια'!$R$18,"")</f>
        <v/>
      </c>
      <c r="O10" s="20">
        <f>IF('Δρομολόγια'!$P$19,ROUND(ROUND('Δρομολόγια'!$F$19*100,0)*(100-$A10)/100,0)/100*(1-'Δρομολόγια'!$S$19)-'Δρομολόγια'!$R$19,"")</f>
        <v/>
      </c>
      <c r="P10" s="20">
        <f>IF('Δρομολόγια'!$P$20,ROUND(ROUND('Δρομολόγια'!$F$20*100,0)*(100-$A10)/100,0)/100*(1-'Δρομολόγια'!$S$20)-'Δρομολόγια'!$R$20,"")</f>
        <v/>
      </c>
      <c r="Q10" t="inlineStr">
        <is>
          <t>τέσσερα</t>
        </is>
      </c>
    </row>
    <row r="11">
      <c r="A11" t="n">
        <v>5</v>
      </c>
      <c r="B11" s="20">
        <f>IF('Δρομολόγια'!$P$6,ROUND(ROUND('Δρομολόγια'!$F$6*100,0)*(100-$A11)/100,0)/100*(1-'Δρομολόγια'!$S$6)-'Δρομολόγια'!$R$6,"")</f>
        <v/>
      </c>
      <c r="C11" s="20">
        <f>IF('Δρομολόγια'!$P$7,ROUND(ROUND('Δρομολόγια'!$F$7*100,0)*(100-$A11)/100,0)/100*(1-'Δρομολόγια'!$S$7)-'Δρομολόγια'!$R$7,"")</f>
        <v/>
      </c>
      <c r="D11" s="20">
        <f>IF('Δρομολόγια'!$P$8,ROUND(ROUND('Δρομολόγια'!$F$8*100,0)*(100-$A11)/100,0)/100*(1-'Δρομολόγια'!$S$8)-'Δρομολόγια'!$R$8,"")</f>
        <v/>
      </c>
      <c r="E11" s="20">
        <f>IF('Δρομολόγια'!$P$9,ROUND(ROUND('Δρομολόγια'!$F$9*100,0)*(100-$A11)/100,0)/100*(1-'Δρομολόγια'!$S$9)-'Δρομολόγια'!$R$9,"")</f>
        <v/>
      </c>
      <c r="F11" s="20">
        <f>IF('Δρομολόγια'!$P$10,ROUND(ROUND('Δρομολόγια'!$F$10*100,0)*(100-$A11)/100,0)/100*(1-'Δρομολόγια'!$S$10)-'Δρομολόγια'!$R$10,"")</f>
        <v/>
      </c>
      <c r="G11" s="20">
        <f>IF('Δρομολόγια'!$P$11,ROUND(ROUND('Δρομολόγια'!$F$11*100,0)*(100-$A11)/100,0)/100*(1-'Δρομολόγια'!$S$11)-'Δρομολόγια'!$R$11,"")</f>
        <v/>
      </c>
      <c r="H11" s="20">
        <f>IF('Δρομολόγια'!$P$12,ROUND(ROUND('Δρομολόγια'!$F$12*100,0)*(100-$A11)/100,0)/100*(1-'Δρομολόγια'!$S$12)-'Δρομολόγια'!$R$12,"")</f>
        <v/>
      </c>
      <c r="I11" s="20">
        <f>IF('Δρομολόγια'!$P$13,ROUND(ROUND('Δρομολόγια'!$F$13*100,0)*(100-$A11)/100,0)/100*(1-'Δρομολόγια'!$S$13)-'Δρομολόγια'!$R$13,"")</f>
        <v/>
      </c>
      <c r="J11" s="20">
        <f>IF('Δρομολόγια'!$P$14,ROUND(ROUND('Δρομολόγια'!$F$14*100,0)*(100-$A11)/100,0)/100*(1-'Δρομολόγια'!$S$14)-'Δρομολόγια'!$R$14,"")</f>
        <v/>
      </c>
      <c r="K11" s="20">
        <f>IF('Δρομολόγια'!$P$15,ROUND(ROUND('Δρομολόγια'!$F$15*100,0)*(100-$A11)/100,0)/100*(1-'Δρομολόγια'!$S$15)-'Δρομολόγια'!$R$15,"")</f>
        <v/>
      </c>
      <c r="L11" s="20">
        <f>IF('Δρομολόγια'!$P$16,ROUND(ROUND('Δρομολόγια'!$F$16*100,0)*(100-$A11)/100,0)/100*(1-'Δρομολόγια'!$S$16)-'Δρομολόγια'!$R$16,"")</f>
        <v/>
      </c>
      <c r="M11" s="20">
        <f>IF('Δρομολόγια'!$P$17,ROUND(ROUND('Δρομολόγια'!$F$17*100,0)*(100-$A11)/100,0)/100*(1-'Δρομολόγια'!$S$17)-'Δρομολόγια'!$R$17,"")</f>
        <v/>
      </c>
      <c r="N11" s="20">
        <f>IF('Δρομολόγια'!$P$18,ROUND(ROUND('Δρομολόγια'!$F$18*100,0)*(100-$A11)/100,0)/100*(1-'Δρομολόγια'!$S$18)-'Δρομολόγια'!$R$18,"")</f>
        <v/>
      </c>
      <c r="O11" s="20">
        <f>IF('Δρομολόγια'!$P$19,ROUND(ROUND('Δρομολόγια'!$F$19*100,0)*(100-$A11)/100,0)/100*(1-'Δρομολόγια'!$S$19)-'Δρομολόγια'!$R$19,"")</f>
        <v/>
      </c>
      <c r="P11" s="20">
        <f>IF('Δρομολόγια'!$P$20,ROUND(ROUND('Δρομολόγια'!$F$20*100,0)*(100-$A11)/100,0)/100*(1-'Δρομολόγια'!$S$20)-'Δρομολόγια'!$R$20,"")</f>
        <v/>
      </c>
      <c r="Q11" t="inlineStr">
        <is>
          <t>πέντε</t>
        </is>
      </c>
    </row>
    <row r="12">
      <c r="A12" t="n">
        <v>6</v>
      </c>
      <c r="B12" s="20">
        <f>IF('Δρομολόγια'!$P$6,ROUND(ROUND('Δρομολόγια'!$F$6*100,0)*(100-$A12)/100,0)/100*(1-'Δρομολόγια'!$S$6)-'Δρομολόγια'!$R$6,"")</f>
        <v/>
      </c>
      <c r="C12" s="20">
        <f>IF('Δρομολόγια'!$P$7,ROUND(ROUND('Δρομολόγια'!$F$7*100,0)*(100-$A12)/100,0)/100*(1-'Δρομολόγια'!$S$7)-'Δρομολόγια'!$R$7,"")</f>
        <v/>
      </c>
      <c r="D12" s="20">
        <f>IF('Δρομολόγια'!$P$8,ROUND(ROUND('Δρομολόγια'!$F$8*100,0)*(100-$A12)/100,0)/100*(1-'Δρομολόγια'!$S$8)-'Δρομολόγια'!$R$8,"")</f>
        <v/>
      </c>
      <c r="E12" s="20">
        <f>IF('Δρομολόγια'!$P$9,ROUND(ROUND('Δρομολόγια'!$F$9*100,0)*(100-$A12)/100,0)/100*(1-'Δρομολόγια'!$S$9)-'Δρομολόγια'!$R$9,"")</f>
        <v/>
      </c>
      <c r="F12" s="20">
        <f>IF('Δρομολόγια'!$P$10,ROUND(ROUND('Δρομολόγια'!$F$10*100,0)*(100-$A12)/100,0)/100*(1-'Δρομολόγια'!$S$10)-'Δρομολόγια'!$R$10,"")</f>
        <v/>
      </c>
      <c r="G12" s="20">
        <f>IF('Δρομολόγια'!$P$11,ROUND(ROUND('Δρομολόγια'!$F$11*100,0)*(100-$A12)/100,0)/100*(1-'Δρομολόγια'!$S$11)-'Δρομολόγια'!$R$11,"")</f>
        <v/>
      </c>
      <c r="H12" s="20">
        <f>IF('Δρομολόγια'!$P$12,ROUND(ROUND('Δρομολόγια'!$F$12*100,0)*(100-$A12)/100,0)/100*(1-'Δρομολόγια'!$S$12)-'Δρομολόγια'!$R$12,"")</f>
        <v/>
      </c>
      <c r="I12" s="20">
        <f>IF('Δρομολόγια'!$P$13,ROUND(ROUND('Δρομολόγια'!$F$13*100,0)*(100-$A12)/100,0)/100*(1-'Δρομολόγια'!$S$13)-'Δρομολόγια'!$R$13,"")</f>
        <v/>
      </c>
      <c r="J12" s="20">
        <f>IF('Δρομολόγια'!$P$14,ROUND(ROUND('Δρομολόγια'!$F$14*100,0)*(100-$A12)/100,0)/100*(1-'Δρομολόγια'!$S$14)-'Δρομολόγια'!$R$14,"")</f>
        <v/>
      </c>
      <c r="K12" s="20">
        <f>IF('Δρομολόγια'!$P$15,ROUND(ROUND('Δρομολόγια'!$F$15*100,0)*(100-$A12)/100,0)/100*(1-'Δρομολόγια'!$S$15)-'Δρομολόγια'!$R$15,"")</f>
        <v/>
      </c>
      <c r="L12" s="20">
        <f>IF('Δρομολόγια'!$P$16,ROUND(ROUND('Δρομολόγια'!$F$16*100,0)*(100-$A12)/100,0)/100*(1-'Δρομολόγια'!$S$16)-'Δρομολόγια'!$R$16,"")</f>
        <v/>
      </c>
      <c r="M12" s="20">
        <f>IF('Δρομολόγια'!$P$17,ROUND(ROUND('Δρομολόγια'!$F$17*100,0)*(100-$A12)/100,0)/100*(1-'Δρομολόγια'!$S$17)-'Δρομολόγια'!$R$17,"")</f>
        <v/>
      </c>
      <c r="N12" s="20">
        <f>IF('Δρομολόγια'!$P$18,ROUND(ROUND('Δρομολόγια'!$F$18*100,0)*(100-$A12)/100,0)/100*(1-'Δρομολόγια'!$S$18)-'Δρομολόγια'!$R$18,"")</f>
        <v/>
      </c>
      <c r="O12" s="20">
        <f>IF('Δρομολόγια'!$P$19,ROUND(ROUND('Δρομολόγια'!$F$19*100,0)*(100-$A12)/100,0)/100*(1-'Δρομολόγια'!$S$19)-'Δρομολόγια'!$R$19,"")</f>
        <v/>
      </c>
      <c r="P12" s="20">
        <f>IF('Δρομολόγια'!$P$20,ROUND(ROUND('Δρομολόγια'!$F$20*100,0)*(100-$A12)/100,0)/100*(1-'Δρομολόγια'!$S$20)-'Δρομολόγια'!$R$20,"")</f>
        <v/>
      </c>
      <c r="Q12" t="inlineStr">
        <is>
          <t>έξι</t>
        </is>
      </c>
    </row>
    <row r="13">
      <c r="A13" t="n">
        <v>7</v>
      </c>
      <c r="B13" s="20">
        <f>IF('Δρομολόγια'!$P$6,ROUND(ROUND('Δρομολόγια'!$F$6*100,0)*(100-$A13)/100,0)/100*(1-'Δρομολόγια'!$S$6)-'Δρομολόγια'!$R$6,"")</f>
        <v/>
      </c>
      <c r="C13" s="20">
        <f>IF('Δρομολόγια'!$P$7,ROUND(ROUND('Δρομολόγια'!$F$7*100,0)*(100-$A13)/100,0)/100*(1-'Δρομολόγια'!$S$7)-'Δρομολόγια'!$R$7,"")</f>
        <v/>
      </c>
      <c r="D13" s="20">
        <f>IF('Δρομολόγια'!$P$8,ROUND(ROUND('Δρομολόγια'!$F$8*100,0)*(100-$A13)/100,0)/100*(1-'Δρομολόγια'!$S$8)-'Δρομολόγια'!$R$8,"")</f>
        <v/>
      </c>
      <c r="E13" s="20">
        <f>IF('Δρομολόγια'!$P$9,ROUND(ROUND('Δρομολόγια'!$F$9*100,0)*(100-$A13)/100,0)/100*(1-'Δρομολόγια'!$S$9)-'Δρομολόγια'!$R$9,"")</f>
        <v/>
      </c>
      <c r="F13" s="20">
        <f>IF('Δρομολόγια'!$P$10,ROUND(ROUND('Δρομολόγια'!$F$10*100,0)*(100-$A13)/100,0)/100*(1-'Δρομολόγια'!$S$10)-'Δρομολόγια'!$R$10,"")</f>
        <v/>
      </c>
      <c r="G13" s="20">
        <f>IF('Δρομολόγια'!$P$11,ROUND(ROUND('Δρομολόγια'!$F$11*100,0)*(100-$A13)/100,0)/100*(1-'Δρομολόγια'!$S$11)-'Δρομολόγια'!$R$11,"")</f>
        <v/>
      </c>
      <c r="H13" s="20">
        <f>IF('Δρομολόγια'!$P$12,ROUND(ROUND('Δρομολόγια'!$F$12*100,0)*(100-$A13)/100,0)/100*(1-'Δρομολόγια'!$S$12)-'Δρομολόγια'!$R$12,"")</f>
        <v/>
      </c>
      <c r="I13" s="20">
        <f>IF('Δρομολόγια'!$P$13,ROUND(ROUND('Δρομολόγια'!$F$13*100,0)*(100-$A13)/100,0)/100*(1-'Δρομολόγια'!$S$13)-'Δρομολόγια'!$R$13,"")</f>
        <v/>
      </c>
      <c r="J13" s="20">
        <f>IF('Δρομολόγια'!$P$14,ROUND(ROUND('Δρομολόγια'!$F$14*100,0)*(100-$A13)/100,0)/100*(1-'Δρομολόγια'!$S$14)-'Δρομολόγια'!$R$14,"")</f>
        <v/>
      </c>
      <c r="K13" s="20">
        <f>IF('Δρομολόγια'!$P$15,ROUND(ROUND('Δρομολόγια'!$F$15*100,0)*(100-$A13)/100,0)/100*(1-'Δρομολόγια'!$S$15)-'Δρομολόγια'!$R$15,"")</f>
        <v/>
      </c>
      <c r="L13" s="20">
        <f>IF('Δρομολόγια'!$P$16,ROUND(ROUND('Δρομολόγια'!$F$16*100,0)*(100-$A13)/100,0)/100*(1-'Δρομολόγια'!$S$16)-'Δρομολόγια'!$R$16,"")</f>
        <v/>
      </c>
      <c r="M13" s="20">
        <f>IF('Δρομολόγια'!$P$17,ROUND(ROUND('Δρομολόγια'!$F$17*100,0)*(100-$A13)/100,0)/100*(1-'Δρομολόγια'!$S$17)-'Δρομολόγια'!$R$17,"")</f>
        <v/>
      </c>
      <c r="N13" s="20">
        <f>IF('Δρομολόγια'!$P$18,ROUND(ROUND('Δρομολόγια'!$F$18*100,0)*(100-$A13)/100,0)/100*(1-'Δρομολόγια'!$S$18)-'Δρομολόγια'!$R$18,"")</f>
        <v/>
      </c>
      <c r="O13" s="20">
        <f>IF('Δρομολόγια'!$P$19,ROUND(ROUND('Δρομολόγια'!$F$19*100,0)*(100-$A13)/100,0)/100*(1-'Δρομολόγια'!$S$19)-'Δρομολόγια'!$R$19,"")</f>
        <v/>
      </c>
      <c r="P13" s="20">
        <f>IF('Δρομολόγια'!$P$20,ROUND(ROUND('Δρομολόγια'!$F$20*100,0)*(100-$A13)/100,0)/100*(1-'Δρομολόγια'!$S$20)-'Δρομολόγια'!$R$20,"")</f>
        <v/>
      </c>
      <c r="Q13" t="inlineStr">
        <is>
          <t>επτά</t>
        </is>
      </c>
    </row>
    <row r="14">
      <c r="A14" t="n">
        <v>8</v>
      </c>
      <c r="B14" s="20">
        <f>IF('Δρομολόγια'!$P$6,ROUND(ROUND('Δρομολόγια'!$F$6*100,0)*(100-$A14)/100,0)/100*(1-'Δρομολόγια'!$S$6)-'Δρομολόγια'!$R$6,"")</f>
        <v/>
      </c>
      <c r="C14" s="20">
        <f>IF('Δρομολόγια'!$P$7,ROUND(ROUND('Δρομολόγια'!$F$7*100,0)*(100-$A14)/100,0)/100*(1-'Δρομολόγια'!$S$7)-'Δρομολόγια'!$R$7,"")</f>
        <v/>
      </c>
      <c r="D14" s="20">
        <f>IF('Δρομολόγια'!$P$8,ROUND(ROUND('Δρομολόγια'!$F$8*100,0)*(100-$A14)/100,0)/100*(1-'Δρομολόγια'!$S$8)-'Δρομολόγια'!$R$8,"")</f>
        <v/>
      </c>
      <c r="E14" s="20">
        <f>IF('Δρομολόγια'!$P$9,ROUND(ROUND('Δρομολόγια'!$F$9*100,0)*(100-$A14)/100,0)/100*(1-'Δρομολόγια'!$S$9)-'Δρομολόγια'!$R$9,"")</f>
        <v/>
      </c>
      <c r="F14" s="20">
        <f>IF('Δρομολόγια'!$P$10,ROUND(ROUND('Δρομολόγια'!$F$10*100,0)*(100-$A14)/100,0)/100*(1-'Δρομολόγια'!$S$10)-'Δρομολόγια'!$R$10,"")</f>
        <v/>
      </c>
      <c r="G14" s="20">
        <f>IF('Δρομολόγια'!$P$11,ROUND(ROUND('Δρομολόγια'!$F$11*100,0)*(100-$A14)/100,0)/100*(1-'Δρομολόγια'!$S$11)-'Δρομολόγια'!$R$11,"")</f>
        <v/>
      </c>
      <c r="H14" s="20">
        <f>IF('Δρομολόγια'!$P$12,ROUND(ROUND('Δρομολόγια'!$F$12*100,0)*(100-$A14)/100,0)/100*(1-'Δρομολόγια'!$S$12)-'Δρομολόγια'!$R$12,"")</f>
        <v/>
      </c>
      <c r="I14" s="20">
        <f>IF('Δρομολόγια'!$P$13,ROUND(ROUND('Δρομολόγια'!$F$13*100,0)*(100-$A14)/100,0)/100*(1-'Δρομολόγια'!$S$13)-'Δρομολόγια'!$R$13,"")</f>
        <v/>
      </c>
      <c r="J14" s="20">
        <f>IF('Δρομολόγια'!$P$14,ROUND(ROUND('Δρομολόγια'!$F$14*100,0)*(100-$A14)/100,0)/100*(1-'Δρομολόγια'!$S$14)-'Δρομολόγια'!$R$14,"")</f>
        <v/>
      </c>
      <c r="K14" s="20">
        <f>IF('Δρομολόγια'!$P$15,ROUND(ROUND('Δρομολόγια'!$F$15*100,0)*(100-$A14)/100,0)/100*(1-'Δρομολόγια'!$S$15)-'Δρομολόγια'!$R$15,"")</f>
        <v/>
      </c>
      <c r="L14" s="20">
        <f>IF('Δρομολόγια'!$P$16,ROUND(ROUND('Δρομολόγια'!$F$16*100,0)*(100-$A14)/100,0)/100*(1-'Δρομολόγια'!$S$16)-'Δρομολόγια'!$R$16,"")</f>
        <v/>
      </c>
      <c r="M14" s="20">
        <f>IF('Δρομολόγια'!$P$17,ROUND(ROUND('Δρομολόγια'!$F$17*100,0)*(100-$A14)/100,0)/100*(1-'Δρομολόγια'!$S$17)-'Δρομολόγια'!$R$17,"")</f>
        <v/>
      </c>
      <c r="N14" s="20">
        <f>IF('Δρομολόγια'!$P$18,ROUND(ROUND('Δρομολόγια'!$F$18*100,0)*(100-$A14)/100,0)/100*(1-'Δρομολόγια'!$S$18)-'Δρομολόγια'!$R$18,"")</f>
        <v/>
      </c>
      <c r="O14" s="20">
        <f>IF('Δρομολόγια'!$P$19,ROUND(ROUND('Δρομολόγια'!$F$19*100,0)*(100-$A14)/100,0)/100*(1-'Δρομολόγια'!$S$19)-'Δρομολόγια'!$R$19,"")</f>
        <v/>
      </c>
      <c r="P14" s="20">
        <f>IF('Δρομολόγια'!$P$20,ROUND(ROUND('Δρομολόγια'!$F$20*100,0)*(100-$A14)/100,0)/100*(1-'Δρομολόγια'!$S$20)-'Δρομολόγια'!$R$20,"")</f>
        <v/>
      </c>
      <c r="Q14" t="inlineStr">
        <is>
          <t>οκτώ</t>
        </is>
      </c>
    </row>
    <row r="15">
      <c r="A15" t="n">
        <v>9</v>
      </c>
      <c r="B15" s="20">
        <f>IF('Δρομολόγια'!$P$6,ROUND(ROUND('Δρομολόγια'!$F$6*100,0)*(100-$A15)/100,0)/100*(1-'Δρομολόγια'!$S$6)-'Δρομολόγια'!$R$6,"")</f>
        <v/>
      </c>
      <c r="C15" s="20">
        <f>IF('Δρομολόγια'!$P$7,ROUND(ROUND('Δρομολόγια'!$F$7*100,0)*(100-$A15)/100,0)/100*(1-'Δρομολόγια'!$S$7)-'Δρομολόγια'!$R$7,"")</f>
        <v/>
      </c>
      <c r="D15" s="20">
        <f>IF('Δρομολόγια'!$P$8,ROUND(ROUND('Δρομολόγια'!$F$8*100,0)*(100-$A15)/100,0)/100*(1-'Δρομολόγια'!$S$8)-'Δρομολόγια'!$R$8,"")</f>
        <v/>
      </c>
      <c r="E15" s="20">
        <f>IF('Δρομολόγια'!$P$9,ROUND(ROUND('Δρομολόγια'!$F$9*100,0)*(100-$A15)/100,0)/100*(1-'Δρομολόγια'!$S$9)-'Δρομολόγια'!$R$9,"")</f>
        <v/>
      </c>
      <c r="F15" s="20">
        <f>IF('Δρομολόγια'!$P$10,ROUND(ROUND('Δρομολόγια'!$F$10*100,0)*(100-$A15)/100,0)/100*(1-'Δρομολόγια'!$S$10)-'Δρομολόγια'!$R$10,"")</f>
        <v/>
      </c>
      <c r="G15" s="20">
        <f>IF('Δρομολόγια'!$P$11,ROUND(ROUND('Δρομολόγια'!$F$11*100,0)*(100-$A15)/100,0)/100*(1-'Δρομολόγια'!$S$11)-'Δρομολόγια'!$R$11,"")</f>
        <v/>
      </c>
      <c r="H15" s="20">
        <f>IF('Δρομολόγια'!$P$12,ROUND(ROUND('Δρομολόγια'!$F$12*100,0)*(100-$A15)/100,0)/100*(1-'Δρομολόγια'!$S$12)-'Δρομολόγια'!$R$12,"")</f>
        <v/>
      </c>
      <c r="I15" s="20">
        <f>IF('Δρομολόγια'!$P$13,ROUND(ROUND('Δρομολόγια'!$F$13*100,0)*(100-$A15)/100,0)/100*(1-'Δρομολόγια'!$S$13)-'Δρομολόγια'!$R$13,"")</f>
        <v/>
      </c>
      <c r="J15" s="20">
        <f>IF('Δρομολόγια'!$P$14,ROUND(ROUND('Δρομολόγια'!$F$14*100,0)*(100-$A15)/100,0)/100*(1-'Δρομολόγια'!$S$14)-'Δρομολόγια'!$R$14,"")</f>
        <v/>
      </c>
      <c r="K15" s="20">
        <f>IF('Δρομολόγια'!$P$15,ROUND(ROUND('Δρομολόγια'!$F$15*100,0)*(100-$A15)/100,0)/100*(1-'Δρομολόγια'!$S$15)-'Δρομολόγια'!$R$15,"")</f>
        <v/>
      </c>
      <c r="L15" s="20">
        <f>IF('Δρομολόγια'!$P$16,ROUND(ROUND('Δρομολόγια'!$F$16*100,0)*(100-$A15)/100,0)/100*(1-'Δρομολόγια'!$S$16)-'Δρομολόγια'!$R$16,"")</f>
        <v/>
      </c>
      <c r="M15" s="20">
        <f>IF('Δρομολόγια'!$P$17,ROUND(ROUND('Δρομολόγια'!$F$17*100,0)*(100-$A15)/100,0)/100*(1-'Δρομολόγια'!$S$17)-'Δρομολόγια'!$R$17,"")</f>
        <v/>
      </c>
      <c r="N15" s="20">
        <f>IF('Δρομολόγια'!$P$18,ROUND(ROUND('Δρομολόγια'!$F$18*100,0)*(100-$A15)/100,0)/100*(1-'Δρομολόγια'!$S$18)-'Δρομολόγια'!$R$18,"")</f>
        <v/>
      </c>
      <c r="O15" s="20">
        <f>IF('Δρομολόγια'!$P$19,ROUND(ROUND('Δρομολόγια'!$F$19*100,0)*(100-$A15)/100,0)/100*(1-'Δρομολόγια'!$S$19)-'Δρομολόγια'!$R$19,"")</f>
        <v/>
      </c>
      <c r="P15" s="20">
        <f>IF('Δρομολόγια'!$P$20,ROUND(ROUND('Δρομολόγια'!$F$20*100,0)*(100-$A15)/100,0)/100*(1-'Δρομολόγια'!$S$20)-'Δρομολόγια'!$R$20,"")</f>
        <v/>
      </c>
      <c r="Q15" t="inlineStr">
        <is>
          <t>εννέα</t>
        </is>
      </c>
    </row>
    <row r="16">
      <c r="A16" t="n">
        <v>10</v>
      </c>
      <c r="B16" s="20">
        <f>IF('Δρομολόγια'!$P$6,ROUND(ROUND('Δρομολόγια'!$F$6*100,0)*(100-$A16)/100,0)/100*(1-'Δρομολόγια'!$S$6)-'Δρομολόγια'!$R$6,"")</f>
        <v/>
      </c>
      <c r="C16" s="20">
        <f>IF('Δρομολόγια'!$P$7,ROUND(ROUND('Δρομολόγια'!$F$7*100,0)*(100-$A16)/100,0)/100*(1-'Δρομολόγια'!$S$7)-'Δρομολόγια'!$R$7,"")</f>
        <v/>
      </c>
      <c r="D16" s="20">
        <f>IF('Δρομολόγια'!$P$8,ROUND(ROUND('Δρομολόγια'!$F$8*100,0)*(100-$A16)/100,0)/100*(1-'Δρομολόγια'!$S$8)-'Δρομολόγια'!$R$8,"")</f>
        <v/>
      </c>
      <c r="E16" s="20">
        <f>IF('Δρομολόγια'!$P$9,ROUND(ROUND('Δρομολόγια'!$F$9*100,0)*(100-$A16)/100,0)/100*(1-'Δρομολόγια'!$S$9)-'Δρομολόγια'!$R$9,"")</f>
        <v/>
      </c>
      <c r="F16" s="20">
        <f>IF('Δρομολόγια'!$P$10,ROUND(ROUND('Δρομολόγια'!$F$10*100,0)*(100-$A16)/100,0)/100*(1-'Δρομολόγια'!$S$10)-'Δρομολόγια'!$R$10,"")</f>
        <v/>
      </c>
      <c r="G16" s="20">
        <f>IF('Δρομολόγια'!$P$11,ROUND(ROUND('Δρομολόγια'!$F$11*100,0)*(100-$A16)/100,0)/100*(1-'Δρομολόγια'!$S$11)-'Δρομολόγια'!$R$11,"")</f>
        <v/>
      </c>
      <c r="H16" s="20">
        <f>IF('Δρομολόγια'!$P$12,ROUND(ROUND('Δρομολόγια'!$F$12*100,0)*(100-$A16)/100,0)/100*(1-'Δρομολόγια'!$S$12)-'Δρομολόγια'!$R$12,"")</f>
        <v/>
      </c>
      <c r="I16" s="20">
        <f>IF('Δρομολόγια'!$P$13,ROUND(ROUND('Δρομολόγια'!$F$13*100,0)*(100-$A16)/100,0)/100*(1-'Δρομολόγια'!$S$13)-'Δρομολόγια'!$R$13,"")</f>
        <v/>
      </c>
      <c r="J16" s="20">
        <f>IF('Δρομολόγια'!$P$14,ROUND(ROUND('Δρομολόγια'!$F$14*100,0)*(100-$A16)/100,0)/100*(1-'Δρομολόγια'!$S$14)-'Δρομολόγια'!$R$14,"")</f>
        <v/>
      </c>
      <c r="K16" s="20">
        <f>IF('Δρομολόγια'!$P$15,ROUND(ROUND('Δρομολόγια'!$F$15*100,0)*(100-$A16)/100,0)/100*(1-'Δρομολόγια'!$S$15)-'Δρομολόγια'!$R$15,"")</f>
        <v/>
      </c>
      <c r="L16" s="20">
        <f>IF('Δρομολόγια'!$P$16,ROUND(ROUND('Δρομολόγια'!$F$16*100,0)*(100-$A16)/100,0)/100*(1-'Δρομολόγια'!$S$16)-'Δρομολόγια'!$R$16,"")</f>
        <v/>
      </c>
      <c r="M16" s="20">
        <f>IF('Δρομολόγια'!$P$17,ROUND(ROUND('Δρομολόγια'!$F$17*100,0)*(100-$A16)/100,0)/100*(1-'Δρομολόγια'!$S$17)-'Δρομολόγια'!$R$17,"")</f>
        <v/>
      </c>
      <c r="N16" s="20">
        <f>IF('Δρομολόγια'!$P$18,ROUND(ROUND('Δρομολόγια'!$F$18*100,0)*(100-$A16)/100,0)/100*(1-'Δρομολόγια'!$S$18)-'Δρομολόγια'!$R$18,"")</f>
        <v/>
      </c>
      <c r="O16" s="20">
        <f>IF('Δρομολόγια'!$P$19,ROUND(ROUND('Δρομολόγια'!$F$19*100,0)*(100-$A16)/100,0)/100*(1-'Δρομολόγια'!$S$19)-'Δρομολόγια'!$R$19,"")</f>
        <v/>
      </c>
      <c r="P16" s="20">
        <f>IF('Δρομολόγια'!$P$20,ROUND(ROUND('Δρομολόγια'!$F$20*100,0)*(100-$A16)/100,0)/100*(1-'Δρομολόγια'!$S$20)-'Δρομολόγια'!$R$20,"")</f>
        <v/>
      </c>
      <c r="Q16" t="inlineStr">
        <is>
          <t>δέκα</t>
        </is>
      </c>
    </row>
    <row r="17">
      <c r="A17" t="n">
        <v>11</v>
      </c>
      <c r="B17" s="20">
        <f>IF('Δρομολόγια'!$P$6,ROUND(ROUND('Δρομολόγια'!$F$6*100,0)*(100-$A17)/100,0)/100*(1-'Δρομολόγια'!$S$6)-'Δρομολόγια'!$R$6,"")</f>
        <v/>
      </c>
      <c r="C17" s="20">
        <f>IF('Δρομολόγια'!$P$7,ROUND(ROUND('Δρομολόγια'!$F$7*100,0)*(100-$A17)/100,0)/100*(1-'Δρομολόγια'!$S$7)-'Δρομολόγια'!$R$7,"")</f>
        <v/>
      </c>
      <c r="D17" s="20">
        <f>IF('Δρομολόγια'!$P$8,ROUND(ROUND('Δρομολόγια'!$F$8*100,0)*(100-$A17)/100,0)/100*(1-'Δρομολόγια'!$S$8)-'Δρομολόγια'!$R$8,"")</f>
        <v/>
      </c>
      <c r="E17" s="20">
        <f>IF('Δρομολόγια'!$P$9,ROUND(ROUND('Δρομολόγια'!$F$9*100,0)*(100-$A17)/100,0)/100*(1-'Δρομολόγια'!$S$9)-'Δρομολόγια'!$R$9,"")</f>
        <v/>
      </c>
      <c r="F17" s="20">
        <f>IF('Δρομολόγια'!$P$10,ROUND(ROUND('Δρομολόγια'!$F$10*100,0)*(100-$A17)/100,0)/100*(1-'Δρομολόγια'!$S$10)-'Δρομολόγια'!$R$10,"")</f>
        <v/>
      </c>
      <c r="G17" s="20">
        <f>IF('Δρομολόγια'!$P$11,ROUND(ROUND('Δρομολόγια'!$F$11*100,0)*(100-$A17)/100,0)/100*(1-'Δρομολόγια'!$S$11)-'Δρομολόγια'!$R$11,"")</f>
        <v/>
      </c>
      <c r="H17" s="20">
        <f>IF('Δρομολόγια'!$P$12,ROUND(ROUND('Δρομολόγια'!$F$12*100,0)*(100-$A17)/100,0)/100*(1-'Δρομολόγια'!$S$12)-'Δρομολόγια'!$R$12,"")</f>
        <v/>
      </c>
      <c r="I17" s="20">
        <f>IF('Δρομολόγια'!$P$13,ROUND(ROUND('Δρομολόγια'!$F$13*100,0)*(100-$A17)/100,0)/100*(1-'Δρομολόγια'!$S$13)-'Δρομολόγια'!$R$13,"")</f>
        <v/>
      </c>
      <c r="J17" s="20">
        <f>IF('Δρομολόγια'!$P$14,ROUND(ROUND('Δρομολόγια'!$F$14*100,0)*(100-$A17)/100,0)/100*(1-'Δρομολόγια'!$S$14)-'Δρομολόγια'!$R$14,"")</f>
        <v/>
      </c>
      <c r="K17" s="20">
        <f>IF('Δρομολόγια'!$P$15,ROUND(ROUND('Δρομολόγια'!$F$15*100,0)*(100-$A17)/100,0)/100*(1-'Δρομολόγια'!$S$15)-'Δρομολόγια'!$R$15,"")</f>
        <v/>
      </c>
      <c r="L17" s="20">
        <f>IF('Δρομολόγια'!$P$16,ROUND(ROUND('Δρομολόγια'!$F$16*100,0)*(100-$A17)/100,0)/100*(1-'Δρομολόγια'!$S$16)-'Δρομολόγια'!$R$16,"")</f>
        <v/>
      </c>
      <c r="M17" s="20">
        <f>IF('Δρομολόγια'!$P$17,ROUND(ROUND('Δρομολόγια'!$F$17*100,0)*(100-$A17)/100,0)/100*(1-'Δρομολόγια'!$S$17)-'Δρομολόγια'!$R$17,"")</f>
        <v/>
      </c>
      <c r="N17" s="20">
        <f>IF('Δρομολόγια'!$P$18,ROUND(ROUND('Δρομολόγια'!$F$18*100,0)*(100-$A17)/100,0)/100*(1-'Δρομολόγια'!$S$18)-'Δρομολόγια'!$R$18,"")</f>
        <v/>
      </c>
      <c r="O17" s="20">
        <f>IF('Δρομολόγια'!$P$19,ROUND(ROUND('Δρομολόγια'!$F$19*100,0)*(100-$A17)/100,0)/100*(1-'Δρομολόγια'!$S$19)-'Δρομολόγια'!$R$19,"")</f>
        <v/>
      </c>
      <c r="P17" s="20">
        <f>IF('Δρομολόγια'!$P$20,ROUND(ROUND('Δρομολόγια'!$F$20*100,0)*(100-$A17)/100,0)/100*(1-'Δρομολόγια'!$S$20)-'Δρομολόγια'!$R$20,"")</f>
        <v/>
      </c>
      <c r="Q17" t="inlineStr">
        <is>
          <t>έντεκα</t>
        </is>
      </c>
    </row>
    <row r="18">
      <c r="A18" t="n">
        <v>12</v>
      </c>
      <c r="B18" s="20">
        <f>IF('Δρομολόγια'!$P$6,ROUND(ROUND('Δρομολόγια'!$F$6*100,0)*(100-$A18)/100,0)/100*(1-'Δρομολόγια'!$S$6)-'Δρομολόγια'!$R$6,"")</f>
        <v/>
      </c>
      <c r="C18" s="20">
        <f>IF('Δρομολόγια'!$P$7,ROUND(ROUND('Δρομολόγια'!$F$7*100,0)*(100-$A18)/100,0)/100*(1-'Δρομολόγια'!$S$7)-'Δρομολόγια'!$R$7,"")</f>
        <v/>
      </c>
      <c r="D18" s="20">
        <f>IF('Δρομολόγια'!$P$8,ROUND(ROUND('Δρομολόγια'!$F$8*100,0)*(100-$A18)/100,0)/100*(1-'Δρομολόγια'!$S$8)-'Δρομολόγια'!$R$8,"")</f>
        <v/>
      </c>
      <c r="E18" s="20">
        <f>IF('Δρομολόγια'!$P$9,ROUND(ROUND('Δρομολόγια'!$F$9*100,0)*(100-$A18)/100,0)/100*(1-'Δρομολόγια'!$S$9)-'Δρομολόγια'!$R$9,"")</f>
        <v/>
      </c>
      <c r="F18" s="20">
        <f>IF('Δρομολόγια'!$P$10,ROUND(ROUND('Δρομολόγια'!$F$10*100,0)*(100-$A18)/100,0)/100*(1-'Δρομολόγια'!$S$10)-'Δρομολόγια'!$R$10,"")</f>
        <v/>
      </c>
      <c r="G18" s="20">
        <f>IF('Δρομολόγια'!$P$11,ROUND(ROUND('Δρομολόγια'!$F$11*100,0)*(100-$A18)/100,0)/100*(1-'Δρομολόγια'!$S$11)-'Δρομολόγια'!$R$11,"")</f>
        <v/>
      </c>
      <c r="H18" s="20">
        <f>IF('Δρομολόγια'!$P$12,ROUND(ROUND('Δρομολόγια'!$F$12*100,0)*(100-$A18)/100,0)/100*(1-'Δρομολόγια'!$S$12)-'Δρομολόγια'!$R$12,"")</f>
        <v/>
      </c>
      <c r="I18" s="20">
        <f>IF('Δρομολόγια'!$P$13,ROUND(ROUND('Δρομολόγια'!$F$13*100,0)*(100-$A18)/100,0)/100*(1-'Δρομολόγια'!$S$13)-'Δρομολόγια'!$R$13,"")</f>
        <v/>
      </c>
      <c r="J18" s="20">
        <f>IF('Δρομολόγια'!$P$14,ROUND(ROUND('Δρομολόγια'!$F$14*100,0)*(100-$A18)/100,0)/100*(1-'Δρομολόγια'!$S$14)-'Δρομολόγια'!$R$14,"")</f>
        <v/>
      </c>
      <c r="K18" s="20">
        <f>IF('Δρομολόγια'!$P$15,ROUND(ROUND('Δρομολόγια'!$F$15*100,0)*(100-$A18)/100,0)/100*(1-'Δρομολόγια'!$S$15)-'Δρομολόγια'!$R$15,"")</f>
        <v/>
      </c>
      <c r="L18" s="20">
        <f>IF('Δρομολόγια'!$P$16,ROUND(ROUND('Δρομολόγια'!$F$16*100,0)*(100-$A18)/100,0)/100*(1-'Δρομολόγια'!$S$16)-'Δρομολόγια'!$R$16,"")</f>
        <v/>
      </c>
      <c r="M18" s="20">
        <f>IF('Δρομολόγια'!$P$17,ROUND(ROUND('Δρομολόγια'!$F$17*100,0)*(100-$A18)/100,0)/100*(1-'Δρομολόγια'!$S$17)-'Δρομολόγια'!$R$17,"")</f>
        <v/>
      </c>
      <c r="N18" s="20">
        <f>IF('Δρομολόγια'!$P$18,ROUND(ROUND('Δρομολόγια'!$F$18*100,0)*(100-$A18)/100,0)/100*(1-'Δρομολόγια'!$S$18)-'Δρομολόγια'!$R$18,"")</f>
        <v/>
      </c>
      <c r="O18" s="20">
        <f>IF('Δρομολόγια'!$P$19,ROUND(ROUND('Δρομολόγια'!$F$19*100,0)*(100-$A18)/100,0)/100*(1-'Δρομολόγια'!$S$19)-'Δρομολόγια'!$R$19,"")</f>
        <v/>
      </c>
      <c r="P18" s="20">
        <f>IF('Δρομολόγια'!$P$20,ROUND(ROUND('Δρομολόγια'!$F$20*100,0)*(100-$A18)/100,0)/100*(1-'Δρομολόγια'!$S$20)-'Δρομολόγια'!$R$20,"")</f>
        <v/>
      </c>
      <c r="Q18" t="inlineStr">
        <is>
          <t>δώδεκα</t>
        </is>
      </c>
    </row>
    <row r="19">
      <c r="A19" t="n">
        <v>13</v>
      </c>
      <c r="B19" s="20">
        <f>IF('Δρομολόγια'!$P$6,ROUND(ROUND('Δρομολόγια'!$F$6*100,0)*(100-$A19)/100,0)/100*(1-'Δρομολόγια'!$S$6)-'Δρομολόγια'!$R$6,"")</f>
        <v/>
      </c>
      <c r="C19" s="20">
        <f>IF('Δρομολόγια'!$P$7,ROUND(ROUND('Δρομολόγια'!$F$7*100,0)*(100-$A19)/100,0)/100*(1-'Δρομολόγια'!$S$7)-'Δρομολόγια'!$R$7,"")</f>
        <v/>
      </c>
      <c r="D19" s="20">
        <f>IF('Δρομολόγια'!$P$8,ROUND(ROUND('Δρομολόγια'!$F$8*100,0)*(100-$A19)/100,0)/100*(1-'Δρομολόγια'!$S$8)-'Δρομολόγια'!$R$8,"")</f>
        <v/>
      </c>
      <c r="E19" s="20">
        <f>IF('Δρομολόγια'!$P$9,ROUND(ROUND('Δρομολόγια'!$F$9*100,0)*(100-$A19)/100,0)/100*(1-'Δρομολόγια'!$S$9)-'Δρομολόγια'!$R$9,"")</f>
        <v/>
      </c>
      <c r="F19" s="20">
        <f>IF('Δρομολόγια'!$P$10,ROUND(ROUND('Δρομολόγια'!$F$10*100,0)*(100-$A19)/100,0)/100*(1-'Δρομολόγια'!$S$10)-'Δρομολόγια'!$R$10,"")</f>
        <v/>
      </c>
      <c r="G19" s="20">
        <f>IF('Δρομολόγια'!$P$11,ROUND(ROUND('Δρομολόγια'!$F$11*100,0)*(100-$A19)/100,0)/100*(1-'Δρομολόγια'!$S$11)-'Δρομολόγια'!$R$11,"")</f>
        <v/>
      </c>
      <c r="H19" s="20">
        <f>IF('Δρομολόγια'!$P$12,ROUND(ROUND('Δρομολόγια'!$F$12*100,0)*(100-$A19)/100,0)/100*(1-'Δρομολόγια'!$S$12)-'Δρομολόγια'!$R$12,"")</f>
        <v/>
      </c>
      <c r="I19" s="20">
        <f>IF('Δρομολόγια'!$P$13,ROUND(ROUND('Δρομολόγια'!$F$13*100,0)*(100-$A19)/100,0)/100*(1-'Δρομολόγια'!$S$13)-'Δρομολόγια'!$R$13,"")</f>
        <v/>
      </c>
      <c r="J19" s="20">
        <f>IF('Δρομολόγια'!$P$14,ROUND(ROUND('Δρομολόγια'!$F$14*100,0)*(100-$A19)/100,0)/100*(1-'Δρομολόγια'!$S$14)-'Δρομολόγια'!$R$14,"")</f>
        <v/>
      </c>
      <c r="K19" s="20">
        <f>IF('Δρομολόγια'!$P$15,ROUND(ROUND('Δρομολόγια'!$F$15*100,0)*(100-$A19)/100,0)/100*(1-'Δρομολόγια'!$S$15)-'Δρομολόγια'!$R$15,"")</f>
        <v/>
      </c>
      <c r="L19" s="20">
        <f>IF('Δρομολόγια'!$P$16,ROUND(ROUND('Δρομολόγια'!$F$16*100,0)*(100-$A19)/100,0)/100*(1-'Δρομολόγια'!$S$16)-'Δρομολόγια'!$R$16,"")</f>
        <v/>
      </c>
      <c r="M19" s="20">
        <f>IF('Δρομολόγια'!$P$17,ROUND(ROUND('Δρομολόγια'!$F$17*100,0)*(100-$A19)/100,0)/100*(1-'Δρομολόγια'!$S$17)-'Δρομολόγια'!$R$17,"")</f>
        <v/>
      </c>
      <c r="N19" s="20">
        <f>IF('Δρομολόγια'!$P$18,ROUND(ROUND('Δρομολόγια'!$F$18*100,0)*(100-$A19)/100,0)/100*(1-'Δρομολόγια'!$S$18)-'Δρομολόγια'!$R$18,"")</f>
        <v/>
      </c>
      <c r="O19" s="20">
        <f>IF('Δρομολόγια'!$P$19,ROUND(ROUND('Δρομολόγια'!$F$19*100,0)*(100-$A19)/100,0)/100*(1-'Δρομολόγια'!$S$19)-'Δρομολόγια'!$R$19,"")</f>
        <v/>
      </c>
      <c r="P19" s="20">
        <f>IF('Δρομολόγια'!$P$20,ROUND(ROUND('Δρομολόγια'!$F$20*100,0)*(100-$A19)/100,0)/100*(1-'Δρομολόγια'!$S$20)-'Δρομολόγια'!$R$20,"")</f>
        <v/>
      </c>
      <c r="Q19" t="inlineStr">
        <is>
          <t>δεκατρία</t>
        </is>
      </c>
    </row>
    <row r="20">
      <c r="A20" t="n">
        <v>14</v>
      </c>
      <c r="B20" s="20">
        <f>IF('Δρομολόγια'!$P$6,ROUND(ROUND('Δρομολόγια'!$F$6*100,0)*(100-$A20)/100,0)/100*(1-'Δρομολόγια'!$S$6)-'Δρομολόγια'!$R$6,"")</f>
        <v/>
      </c>
      <c r="C20" s="20">
        <f>IF('Δρομολόγια'!$P$7,ROUND(ROUND('Δρομολόγια'!$F$7*100,0)*(100-$A20)/100,0)/100*(1-'Δρομολόγια'!$S$7)-'Δρομολόγια'!$R$7,"")</f>
        <v/>
      </c>
      <c r="D20" s="20">
        <f>IF('Δρομολόγια'!$P$8,ROUND(ROUND('Δρομολόγια'!$F$8*100,0)*(100-$A20)/100,0)/100*(1-'Δρομολόγια'!$S$8)-'Δρομολόγια'!$R$8,"")</f>
        <v/>
      </c>
      <c r="E20" s="20">
        <f>IF('Δρομολόγια'!$P$9,ROUND(ROUND('Δρομολόγια'!$F$9*100,0)*(100-$A20)/100,0)/100*(1-'Δρομολόγια'!$S$9)-'Δρομολόγια'!$R$9,"")</f>
        <v/>
      </c>
      <c r="F20" s="20">
        <f>IF('Δρομολόγια'!$P$10,ROUND(ROUND('Δρομολόγια'!$F$10*100,0)*(100-$A20)/100,0)/100*(1-'Δρομολόγια'!$S$10)-'Δρομολόγια'!$R$10,"")</f>
        <v/>
      </c>
      <c r="G20" s="20">
        <f>IF('Δρομολόγια'!$P$11,ROUND(ROUND('Δρομολόγια'!$F$11*100,0)*(100-$A20)/100,0)/100*(1-'Δρομολόγια'!$S$11)-'Δρομολόγια'!$R$11,"")</f>
        <v/>
      </c>
      <c r="H20" s="20">
        <f>IF('Δρομολόγια'!$P$12,ROUND(ROUND('Δρομολόγια'!$F$12*100,0)*(100-$A20)/100,0)/100*(1-'Δρομολόγια'!$S$12)-'Δρομολόγια'!$R$12,"")</f>
        <v/>
      </c>
      <c r="I20" s="20">
        <f>IF('Δρομολόγια'!$P$13,ROUND(ROUND('Δρομολόγια'!$F$13*100,0)*(100-$A20)/100,0)/100*(1-'Δρομολόγια'!$S$13)-'Δρομολόγια'!$R$13,"")</f>
        <v/>
      </c>
      <c r="J20" s="20">
        <f>IF('Δρομολόγια'!$P$14,ROUND(ROUND('Δρομολόγια'!$F$14*100,0)*(100-$A20)/100,0)/100*(1-'Δρομολόγια'!$S$14)-'Δρομολόγια'!$R$14,"")</f>
        <v/>
      </c>
      <c r="K20" s="20">
        <f>IF('Δρομολόγια'!$P$15,ROUND(ROUND('Δρομολόγια'!$F$15*100,0)*(100-$A20)/100,0)/100*(1-'Δρομολόγια'!$S$15)-'Δρομολόγια'!$R$15,"")</f>
        <v/>
      </c>
      <c r="L20" s="20">
        <f>IF('Δρομολόγια'!$P$16,ROUND(ROUND('Δρομολόγια'!$F$16*100,0)*(100-$A20)/100,0)/100*(1-'Δρομολόγια'!$S$16)-'Δρομολόγια'!$R$16,"")</f>
        <v/>
      </c>
      <c r="M20" s="20">
        <f>IF('Δρομολόγια'!$P$17,ROUND(ROUND('Δρομολόγια'!$F$17*100,0)*(100-$A20)/100,0)/100*(1-'Δρομολόγια'!$S$17)-'Δρομολόγια'!$R$17,"")</f>
        <v/>
      </c>
      <c r="N20" s="20">
        <f>IF('Δρομολόγια'!$P$18,ROUND(ROUND('Δρομολόγια'!$F$18*100,0)*(100-$A20)/100,0)/100*(1-'Δρομολόγια'!$S$18)-'Δρομολόγια'!$R$18,"")</f>
        <v/>
      </c>
      <c r="O20" s="20">
        <f>IF('Δρομολόγια'!$P$19,ROUND(ROUND('Δρομολόγια'!$F$19*100,0)*(100-$A20)/100,0)/100*(1-'Δρομολόγια'!$S$19)-'Δρομολόγια'!$R$19,"")</f>
        <v/>
      </c>
      <c r="P20" s="20">
        <f>IF('Δρομολόγια'!$P$20,ROUND(ROUND('Δρομολόγια'!$F$20*100,0)*(100-$A20)/100,0)/100*(1-'Δρομολόγια'!$S$20)-'Δρομολόγια'!$R$20,"")</f>
        <v/>
      </c>
      <c r="Q20" t="inlineStr">
        <is>
          <t>δεκατέσσερα</t>
        </is>
      </c>
    </row>
    <row r="21">
      <c r="A21" t="n">
        <v>15</v>
      </c>
      <c r="B21" s="20">
        <f>IF('Δρομολόγια'!$P$6,ROUND(ROUND('Δρομολόγια'!$F$6*100,0)*(100-$A21)/100,0)/100*(1-'Δρομολόγια'!$S$6)-'Δρομολόγια'!$R$6,"")</f>
        <v/>
      </c>
      <c r="C21" s="20">
        <f>IF('Δρομολόγια'!$P$7,ROUND(ROUND('Δρομολόγια'!$F$7*100,0)*(100-$A21)/100,0)/100*(1-'Δρομολόγια'!$S$7)-'Δρομολόγια'!$R$7,"")</f>
        <v/>
      </c>
      <c r="D21" s="20">
        <f>IF('Δρομολόγια'!$P$8,ROUND(ROUND('Δρομολόγια'!$F$8*100,0)*(100-$A21)/100,0)/100*(1-'Δρομολόγια'!$S$8)-'Δρομολόγια'!$R$8,"")</f>
        <v/>
      </c>
      <c r="E21" s="20">
        <f>IF('Δρομολόγια'!$P$9,ROUND(ROUND('Δρομολόγια'!$F$9*100,0)*(100-$A21)/100,0)/100*(1-'Δρομολόγια'!$S$9)-'Δρομολόγια'!$R$9,"")</f>
        <v/>
      </c>
      <c r="F21" s="20">
        <f>IF('Δρομολόγια'!$P$10,ROUND(ROUND('Δρομολόγια'!$F$10*100,0)*(100-$A21)/100,0)/100*(1-'Δρομολόγια'!$S$10)-'Δρομολόγια'!$R$10,"")</f>
        <v/>
      </c>
      <c r="G21" s="20">
        <f>IF('Δρομολόγια'!$P$11,ROUND(ROUND('Δρομολόγια'!$F$11*100,0)*(100-$A21)/100,0)/100*(1-'Δρομολόγια'!$S$11)-'Δρομολόγια'!$R$11,"")</f>
        <v/>
      </c>
      <c r="H21" s="20">
        <f>IF('Δρομολόγια'!$P$12,ROUND(ROUND('Δρομολόγια'!$F$12*100,0)*(100-$A21)/100,0)/100*(1-'Δρομολόγια'!$S$12)-'Δρομολόγια'!$R$12,"")</f>
        <v/>
      </c>
      <c r="I21" s="20">
        <f>IF('Δρομολόγια'!$P$13,ROUND(ROUND('Δρομολόγια'!$F$13*100,0)*(100-$A21)/100,0)/100*(1-'Δρομολόγια'!$S$13)-'Δρομολόγια'!$R$13,"")</f>
        <v/>
      </c>
      <c r="J21" s="20">
        <f>IF('Δρομολόγια'!$P$14,ROUND(ROUND('Δρομολόγια'!$F$14*100,0)*(100-$A21)/100,0)/100*(1-'Δρομολόγια'!$S$14)-'Δρομολόγια'!$R$14,"")</f>
        <v/>
      </c>
      <c r="K21" s="20">
        <f>IF('Δρομολόγια'!$P$15,ROUND(ROUND('Δρομολόγια'!$F$15*100,0)*(100-$A21)/100,0)/100*(1-'Δρομολόγια'!$S$15)-'Δρομολόγια'!$R$15,"")</f>
        <v/>
      </c>
      <c r="L21" s="20">
        <f>IF('Δρομολόγια'!$P$16,ROUND(ROUND('Δρομολόγια'!$F$16*100,0)*(100-$A21)/100,0)/100*(1-'Δρομολόγια'!$S$16)-'Δρομολόγια'!$R$16,"")</f>
        <v/>
      </c>
      <c r="M21" s="20">
        <f>IF('Δρομολόγια'!$P$17,ROUND(ROUND('Δρομολόγια'!$F$17*100,0)*(100-$A21)/100,0)/100*(1-'Δρομολόγια'!$S$17)-'Δρομολόγια'!$R$17,"")</f>
        <v/>
      </c>
      <c r="N21" s="20">
        <f>IF('Δρομολόγια'!$P$18,ROUND(ROUND('Δρομολόγια'!$F$18*100,0)*(100-$A21)/100,0)/100*(1-'Δρομολόγια'!$S$18)-'Δρομολόγια'!$R$18,"")</f>
        <v/>
      </c>
      <c r="O21" s="20">
        <f>IF('Δρομολόγια'!$P$19,ROUND(ROUND('Δρομολόγια'!$F$19*100,0)*(100-$A21)/100,0)/100*(1-'Δρομολόγια'!$S$19)-'Δρομολόγια'!$R$19,"")</f>
        <v/>
      </c>
      <c r="P21" s="20">
        <f>IF('Δρομολόγια'!$P$20,ROUND(ROUND('Δρομολόγια'!$F$20*100,0)*(100-$A21)/100,0)/100*(1-'Δρομολόγια'!$S$20)-'Δρομολόγια'!$R$20,"")</f>
        <v/>
      </c>
      <c r="Q21" t="inlineStr">
        <is>
          <t>δεκαπέντε</t>
        </is>
      </c>
    </row>
    <row r="22">
      <c r="A22" t="n">
        <v>16</v>
      </c>
      <c r="B22" s="20">
        <f>IF('Δρομολόγια'!$P$6,ROUND(ROUND('Δρομολόγια'!$F$6*100,0)*(100-$A22)/100,0)/100*(1-'Δρομολόγια'!$S$6)-'Δρομολόγια'!$R$6,"")</f>
        <v/>
      </c>
      <c r="C22" s="20">
        <f>IF('Δρομολόγια'!$P$7,ROUND(ROUND('Δρομολόγια'!$F$7*100,0)*(100-$A22)/100,0)/100*(1-'Δρομολόγια'!$S$7)-'Δρομολόγια'!$R$7,"")</f>
        <v/>
      </c>
      <c r="D22" s="20">
        <f>IF('Δρομολόγια'!$P$8,ROUND(ROUND('Δρομολόγια'!$F$8*100,0)*(100-$A22)/100,0)/100*(1-'Δρομολόγια'!$S$8)-'Δρομολόγια'!$R$8,"")</f>
        <v/>
      </c>
      <c r="E22" s="20">
        <f>IF('Δρομολόγια'!$P$9,ROUND(ROUND('Δρομολόγια'!$F$9*100,0)*(100-$A22)/100,0)/100*(1-'Δρομολόγια'!$S$9)-'Δρομολόγια'!$R$9,"")</f>
        <v/>
      </c>
      <c r="F22" s="20">
        <f>IF('Δρομολόγια'!$P$10,ROUND(ROUND('Δρομολόγια'!$F$10*100,0)*(100-$A22)/100,0)/100*(1-'Δρομολόγια'!$S$10)-'Δρομολόγια'!$R$10,"")</f>
        <v/>
      </c>
      <c r="G22" s="20">
        <f>IF('Δρομολόγια'!$P$11,ROUND(ROUND('Δρομολόγια'!$F$11*100,0)*(100-$A22)/100,0)/100*(1-'Δρομολόγια'!$S$11)-'Δρομολόγια'!$R$11,"")</f>
        <v/>
      </c>
      <c r="H22" s="20">
        <f>IF('Δρομολόγια'!$P$12,ROUND(ROUND('Δρομολόγια'!$F$12*100,0)*(100-$A22)/100,0)/100*(1-'Δρομολόγια'!$S$12)-'Δρομολόγια'!$R$12,"")</f>
        <v/>
      </c>
      <c r="I22" s="20">
        <f>IF('Δρομολόγια'!$P$13,ROUND(ROUND('Δρομολόγια'!$F$13*100,0)*(100-$A22)/100,0)/100*(1-'Δρομολόγια'!$S$13)-'Δρομολόγια'!$R$13,"")</f>
        <v/>
      </c>
      <c r="J22" s="20">
        <f>IF('Δρομολόγια'!$P$14,ROUND(ROUND('Δρομολόγια'!$F$14*100,0)*(100-$A22)/100,0)/100*(1-'Δρομολόγια'!$S$14)-'Δρομολόγια'!$R$14,"")</f>
        <v/>
      </c>
      <c r="K22" s="20">
        <f>IF('Δρομολόγια'!$P$15,ROUND(ROUND('Δρομολόγια'!$F$15*100,0)*(100-$A22)/100,0)/100*(1-'Δρομολόγια'!$S$15)-'Δρομολόγια'!$R$15,"")</f>
        <v/>
      </c>
      <c r="L22" s="20">
        <f>IF('Δρομολόγια'!$P$16,ROUND(ROUND('Δρομολόγια'!$F$16*100,0)*(100-$A22)/100,0)/100*(1-'Δρομολόγια'!$S$16)-'Δρομολόγια'!$R$16,"")</f>
        <v/>
      </c>
      <c r="M22" s="20">
        <f>IF('Δρομολόγια'!$P$17,ROUND(ROUND('Δρομολόγια'!$F$17*100,0)*(100-$A22)/100,0)/100*(1-'Δρομολόγια'!$S$17)-'Δρομολόγια'!$R$17,"")</f>
        <v/>
      </c>
      <c r="N22" s="20">
        <f>IF('Δρομολόγια'!$P$18,ROUND(ROUND('Δρομολόγια'!$F$18*100,0)*(100-$A22)/100,0)/100*(1-'Δρομολόγια'!$S$18)-'Δρομολόγια'!$R$18,"")</f>
        <v/>
      </c>
      <c r="O22" s="20">
        <f>IF('Δρομολόγια'!$P$19,ROUND(ROUND('Δρομολόγια'!$F$19*100,0)*(100-$A22)/100,0)/100*(1-'Δρομολόγια'!$S$19)-'Δρομολόγια'!$R$19,"")</f>
        <v/>
      </c>
      <c r="P22" s="20">
        <f>IF('Δρομολόγια'!$P$20,ROUND(ROUND('Δρομολόγια'!$F$20*100,0)*(100-$A22)/100,0)/100*(1-'Δρομολόγια'!$S$20)-'Δρομολόγια'!$R$20,"")</f>
        <v/>
      </c>
      <c r="Q22" t="inlineStr">
        <is>
          <t>δεκαέξι</t>
        </is>
      </c>
    </row>
    <row r="23">
      <c r="A23" t="n">
        <v>17</v>
      </c>
      <c r="B23" s="20">
        <f>IF('Δρομολόγια'!$P$6,ROUND(ROUND('Δρομολόγια'!$F$6*100,0)*(100-$A23)/100,0)/100*(1-'Δρομολόγια'!$S$6)-'Δρομολόγια'!$R$6,"")</f>
        <v/>
      </c>
      <c r="C23" s="20">
        <f>IF('Δρομολόγια'!$P$7,ROUND(ROUND('Δρομολόγια'!$F$7*100,0)*(100-$A23)/100,0)/100*(1-'Δρομολόγια'!$S$7)-'Δρομολόγια'!$R$7,"")</f>
        <v/>
      </c>
      <c r="D23" s="20">
        <f>IF('Δρομολόγια'!$P$8,ROUND(ROUND('Δρομολόγια'!$F$8*100,0)*(100-$A23)/100,0)/100*(1-'Δρομολόγια'!$S$8)-'Δρομολόγια'!$R$8,"")</f>
        <v/>
      </c>
      <c r="E23" s="20">
        <f>IF('Δρομολόγια'!$P$9,ROUND(ROUND('Δρομολόγια'!$F$9*100,0)*(100-$A23)/100,0)/100*(1-'Δρομολόγια'!$S$9)-'Δρομολόγια'!$R$9,"")</f>
        <v/>
      </c>
      <c r="F23" s="20">
        <f>IF('Δρομολόγια'!$P$10,ROUND(ROUND('Δρομολόγια'!$F$10*100,0)*(100-$A23)/100,0)/100*(1-'Δρομολόγια'!$S$10)-'Δρομολόγια'!$R$10,"")</f>
        <v/>
      </c>
      <c r="G23" s="20">
        <f>IF('Δρομολόγια'!$P$11,ROUND(ROUND('Δρομολόγια'!$F$11*100,0)*(100-$A23)/100,0)/100*(1-'Δρομολόγια'!$S$11)-'Δρομολόγια'!$R$11,"")</f>
        <v/>
      </c>
      <c r="H23" s="20">
        <f>IF('Δρομολόγια'!$P$12,ROUND(ROUND('Δρομολόγια'!$F$12*100,0)*(100-$A23)/100,0)/100*(1-'Δρομολόγια'!$S$12)-'Δρομολόγια'!$R$12,"")</f>
        <v/>
      </c>
      <c r="I23" s="20">
        <f>IF('Δρομολόγια'!$P$13,ROUND(ROUND('Δρομολόγια'!$F$13*100,0)*(100-$A23)/100,0)/100*(1-'Δρομολόγια'!$S$13)-'Δρομολόγια'!$R$13,"")</f>
        <v/>
      </c>
      <c r="J23" s="20">
        <f>IF('Δρομολόγια'!$P$14,ROUND(ROUND('Δρομολόγια'!$F$14*100,0)*(100-$A23)/100,0)/100*(1-'Δρομολόγια'!$S$14)-'Δρομολόγια'!$R$14,"")</f>
        <v/>
      </c>
      <c r="K23" s="20">
        <f>IF('Δρομολόγια'!$P$15,ROUND(ROUND('Δρομολόγια'!$F$15*100,0)*(100-$A23)/100,0)/100*(1-'Δρομολόγια'!$S$15)-'Δρομολόγια'!$R$15,"")</f>
        <v/>
      </c>
      <c r="L23" s="20">
        <f>IF('Δρομολόγια'!$P$16,ROUND(ROUND('Δρομολόγια'!$F$16*100,0)*(100-$A23)/100,0)/100*(1-'Δρομολόγια'!$S$16)-'Δρομολόγια'!$R$16,"")</f>
        <v/>
      </c>
      <c r="M23" s="20">
        <f>IF('Δρομολόγια'!$P$17,ROUND(ROUND('Δρομολόγια'!$F$17*100,0)*(100-$A23)/100,0)/100*(1-'Δρομολόγια'!$S$17)-'Δρομολόγια'!$R$17,"")</f>
        <v/>
      </c>
      <c r="N23" s="20">
        <f>IF('Δρομολόγια'!$P$18,ROUND(ROUND('Δρομολόγια'!$F$18*100,0)*(100-$A23)/100,0)/100*(1-'Δρομολόγια'!$S$18)-'Δρομολόγια'!$R$18,"")</f>
        <v/>
      </c>
      <c r="O23" s="20">
        <f>IF('Δρομολόγια'!$P$19,ROUND(ROUND('Δρομολόγια'!$F$19*100,0)*(100-$A23)/100,0)/100*(1-'Δρομολόγια'!$S$19)-'Δρομολόγια'!$R$19,"")</f>
        <v/>
      </c>
      <c r="P23" s="20">
        <f>IF('Δρομολόγια'!$P$20,ROUND(ROUND('Δρομολόγια'!$F$20*100,0)*(100-$A23)/100,0)/100*(1-'Δρομολόγια'!$S$20)-'Δρομολόγια'!$R$20,"")</f>
        <v/>
      </c>
      <c r="Q23" t="inlineStr">
        <is>
          <t>δεκαεπτά</t>
        </is>
      </c>
    </row>
    <row r="24">
      <c r="A24" t="n">
        <v>18</v>
      </c>
      <c r="B24" s="20">
        <f>IF('Δρομολόγια'!$P$6,ROUND(ROUND('Δρομολόγια'!$F$6*100,0)*(100-$A24)/100,0)/100*(1-'Δρομολόγια'!$S$6)-'Δρομολόγια'!$R$6,"")</f>
        <v/>
      </c>
      <c r="C24" s="20">
        <f>IF('Δρομολόγια'!$P$7,ROUND(ROUND('Δρομολόγια'!$F$7*100,0)*(100-$A24)/100,0)/100*(1-'Δρομολόγια'!$S$7)-'Δρομολόγια'!$R$7,"")</f>
        <v/>
      </c>
      <c r="D24" s="20">
        <f>IF('Δρομολόγια'!$P$8,ROUND(ROUND('Δρομολόγια'!$F$8*100,0)*(100-$A24)/100,0)/100*(1-'Δρομολόγια'!$S$8)-'Δρομολόγια'!$R$8,"")</f>
        <v/>
      </c>
      <c r="E24" s="20">
        <f>IF('Δρομολόγια'!$P$9,ROUND(ROUND('Δρομολόγια'!$F$9*100,0)*(100-$A24)/100,0)/100*(1-'Δρομολόγια'!$S$9)-'Δρομολόγια'!$R$9,"")</f>
        <v/>
      </c>
      <c r="F24" s="20">
        <f>IF('Δρομολόγια'!$P$10,ROUND(ROUND('Δρομολόγια'!$F$10*100,0)*(100-$A24)/100,0)/100*(1-'Δρομολόγια'!$S$10)-'Δρομολόγια'!$R$10,"")</f>
        <v/>
      </c>
      <c r="G24" s="20">
        <f>IF('Δρομολόγια'!$P$11,ROUND(ROUND('Δρομολόγια'!$F$11*100,0)*(100-$A24)/100,0)/100*(1-'Δρομολόγια'!$S$11)-'Δρομολόγια'!$R$11,"")</f>
        <v/>
      </c>
      <c r="H24" s="20">
        <f>IF('Δρομολόγια'!$P$12,ROUND(ROUND('Δρομολόγια'!$F$12*100,0)*(100-$A24)/100,0)/100*(1-'Δρομολόγια'!$S$12)-'Δρομολόγια'!$R$12,"")</f>
        <v/>
      </c>
      <c r="I24" s="20">
        <f>IF('Δρομολόγια'!$P$13,ROUND(ROUND('Δρομολόγια'!$F$13*100,0)*(100-$A24)/100,0)/100*(1-'Δρομολόγια'!$S$13)-'Δρομολόγια'!$R$13,"")</f>
        <v/>
      </c>
      <c r="J24" s="20">
        <f>IF('Δρομολόγια'!$P$14,ROUND(ROUND('Δρομολόγια'!$F$14*100,0)*(100-$A24)/100,0)/100*(1-'Δρομολόγια'!$S$14)-'Δρομολόγια'!$R$14,"")</f>
        <v/>
      </c>
      <c r="K24" s="20">
        <f>IF('Δρομολόγια'!$P$15,ROUND(ROUND('Δρομολόγια'!$F$15*100,0)*(100-$A24)/100,0)/100*(1-'Δρομολόγια'!$S$15)-'Δρομολόγια'!$R$15,"")</f>
        <v/>
      </c>
      <c r="L24" s="20">
        <f>IF('Δρομολόγια'!$P$16,ROUND(ROUND('Δρομολόγια'!$F$16*100,0)*(100-$A24)/100,0)/100*(1-'Δρομολόγια'!$S$16)-'Δρομολόγια'!$R$16,"")</f>
        <v/>
      </c>
      <c r="M24" s="20">
        <f>IF('Δρομολόγια'!$P$17,ROUND(ROUND('Δρομολόγια'!$F$17*100,0)*(100-$A24)/100,0)/100*(1-'Δρομολόγια'!$S$17)-'Δρομολόγια'!$R$17,"")</f>
        <v/>
      </c>
      <c r="N24" s="20">
        <f>IF('Δρομολόγια'!$P$18,ROUND(ROUND('Δρομολόγια'!$F$18*100,0)*(100-$A24)/100,0)/100*(1-'Δρομολόγια'!$S$18)-'Δρομολόγια'!$R$18,"")</f>
        <v/>
      </c>
      <c r="O24" s="20">
        <f>IF('Δρομολόγια'!$P$19,ROUND(ROUND('Δρομολόγια'!$F$19*100,0)*(100-$A24)/100,0)/100*(1-'Δρομολόγια'!$S$19)-'Δρομολόγια'!$R$19,"")</f>
        <v/>
      </c>
      <c r="P24" s="20">
        <f>IF('Δρομολόγια'!$P$20,ROUND(ROUND('Δρομολόγια'!$F$20*100,0)*(100-$A24)/100,0)/100*(1-'Δρομολόγια'!$S$20)-'Δρομολόγια'!$R$20,"")</f>
        <v/>
      </c>
      <c r="Q24" t="inlineStr">
        <is>
          <t>δεκαοκτώ</t>
        </is>
      </c>
    </row>
    <row r="25">
      <c r="A25" t="n">
        <v>19</v>
      </c>
      <c r="B25" s="20">
        <f>IF('Δρομολόγια'!$P$6,ROUND(ROUND('Δρομολόγια'!$F$6*100,0)*(100-$A25)/100,0)/100*(1-'Δρομολόγια'!$S$6)-'Δρομολόγια'!$R$6,"")</f>
        <v/>
      </c>
      <c r="C25" s="20">
        <f>IF('Δρομολόγια'!$P$7,ROUND(ROUND('Δρομολόγια'!$F$7*100,0)*(100-$A25)/100,0)/100*(1-'Δρομολόγια'!$S$7)-'Δρομολόγια'!$R$7,"")</f>
        <v/>
      </c>
      <c r="D25" s="20">
        <f>IF('Δρομολόγια'!$P$8,ROUND(ROUND('Δρομολόγια'!$F$8*100,0)*(100-$A25)/100,0)/100*(1-'Δρομολόγια'!$S$8)-'Δρομολόγια'!$R$8,"")</f>
        <v/>
      </c>
      <c r="E25" s="20">
        <f>IF('Δρομολόγια'!$P$9,ROUND(ROUND('Δρομολόγια'!$F$9*100,0)*(100-$A25)/100,0)/100*(1-'Δρομολόγια'!$S$9)-'Δρομολόγια'!$R$9,"")</f>
        <v/>
      </c>
      <c r="F25" s="20">
        <f>IF('Δρομολόγια'!$P$10,ROUND(ROUND('Δρομολόγια'!$F$10*100,0)*(100-$A25)/100,0)/100*(1-'Δρομολόγια'!$S$10)-'Δρομολόγια'!$R$10,"")</f>
        <v/>
      </c>
      <c r="G25" s="20">
        <f>IF('Δρομολόγια'!$P$11,ROUND(ROUND('Δρομολόγια'!$F$11*100,0)*(100-$A25)/100,0)/100*(1-'Δρομολόγια'!$S$11)-'Δρομολόγια'!$R$11,"")</f>
        <v/>
      </c>
      <c r="H25" s="20">
        <f>IF('Δρομολόγια'!$P$12,ROUND(ROUND('Δρομολόγια'!$F$12*100,0)*(100-$A25)/100,0)/100*(1-'Δρομολόγια'!$S$12)-'Δρομολόγια'!$R$12,"")</f>
        <v/>
      </c>
      <c r="I25" s="20">
        <f>IF('Δρομολόγια'!$P$13,ROUND(ROUND('Δρομολόγια'!$F$13*100,0)*(100-$A25)/100,0)/100*(1-'Δρομολόγια'!$S$13)-'Δρομολόγια'!$R$13,"")</f>
        <v/>
      </c>
      <c r="J25" s="20">
        <f>IF('Δρομολόγια'!$P$14,ROUND(ROUND('Δρομολόγια'!$F$14*100,0)*(100-$A25)/100,0)/100*(1-'Δρομολόγια'!$S$14)-'Δρομολόγια'!$R$14,"")</f>
        <v/>
      </c>
      <c r="K25" s="20">
        <f>IF('Δρομολόγια'!$P$15,ROUND(ROUND('Δρομολόγια'!$F$15*100,0)*(100-$A25)/100,0)/100*(1-'Δρομολόγια'!$S$15)-'Δρομολόγια'!$R$15,"")</f>
        <v/>
      </c>
      <c r="L25" s="20">
        <f>IF('Δρομολόγια'!$P$16,ROUND(ROUND('Δρομολόγια'!$F$16*100,0)*(100-$A25)/100,0)/100*(1-'Δρομολόγια'!$S$16)-'Δρομολόγια'!$R$16,"")</f>
        <v/>
      </c>
      <c r="M25" s="20">
        <f>IF('Δρομολόγια'!$P$17,ROUND(ROUND('Δρομολόγια'!$F$17*100,0)*(100-$A25)/100,0)/100*(1-'Δρομολόγια'!$S$17)-'Δρομολόγια'!$R$17,"")</f>
        <v/>
      </c>
      <c r="N25" s="20">
        <f>IF('Δρομολόγια'!$P$18,ROUND(ROUND('Δρομολόγια'!$F$18*100,0)*(100-$A25)/100,0)/100*(1-'Δρομολόγια'!$S$18)-'Δρομολόγια'!$R$18,"")</f>
        <v/>
      </c>
      <c r="O25" s="20">
        <f>IF('Δρομολόγια'!$P$19,ROUND(ROUND('Δρομολόγια'!$F$19*100,0)*(100-$A25)/100,0)/100*(1-'Δρομολόγια'!$S$19)-'Δρομολόγια'!$R$19,"")</f>
        <v/>
      </c>
      <c r="P25" s="20">
        <f>IF('Δρομολόγια'!$P$20,ROUND(ROUND('Δρομολόγια'!$F$20*100,0)*(100-$A25)/100,0)/100*(1-'Δρομολόγια'!$S$20)-'Δρομολόγια'!$R$20,"")</f>
        <v/>
      </c>
      <c r="Q25" t="inlineStr">
        <is>
          <t>δεκαεννέα</t>
        </is>
      </c>
    </row>
    <row r="26">
      <c r="A26" t="n">
        <v>20</v>
      </c>
      <c r="B26" s="20">
        <f>IF('Δρομολόγια'!$P$6,ROUND(ROUND('Δρομολόγια'!$F$6*100,0)*(100-$A26)/100,0)/100*(1-'Δρομολόγια'!$S$6)-'Δρομολόγια'!$R$6,"")</f>
        <v/>
      </c>
      <c r="C26" s="20">
        <f>IF('Δρομολόγια'!$P$7,ROUND(ROUND('Δρομολόγια'!$F$7*100,0)*(100-$A26)/100,0)/100*(1-'Δρομολόγια'!$S$7)-'Δρομολόγια'!$R$7,"")</f>
        <v/>
      </c>
      <c r="D26" s="20">
        <f>IF('Δρομολόγια'!$P$8,ROUND(ROUND('Δρομολόγια'!$F$8*100,0)*(100-$A26)/100,0)/100*(1-'Δρομολόγια'!$S$8)-'Δρομολόγια'!$R$8,"")</f>
        <v/>
      </c>
      <c r="E26" s="20">
        <f>IF('Δρομολόγια'!$P$9,ROUND(ROUND('Δρομολόγια'!$F$9*100,0)*(100-$A26)/100,0)/100*(1-'Δρομολόγια'!$S$9)-'Δρομολόγια'!$R$9,"")</f>
        <v/>
      </c>
      <c r="F26" s="20">
        <f>IF('Δρομολόγια'!$P$10,ROUND(ROUND('Δρομολόγια'!$F$10*100,0)*(100-$A26)/100,0)/100*(1-'Δρομολόγια'!$S$10)-'Δρομολόγια'!$R$10,"")</f>
        <v/>
      </c>
      <c r="G26" s="20">
        <f>IF('Δρομολόγια'!$P$11,ROUND(ROUND('Δρομολόγια'!$F$11*100,0)*(100-$A26)/100,0)/100*(1-'Δρομολόγια'!$S$11)-'Δρομολόγια'!$R$11,"")</f>
        <v/>
      </c>
      <c r="H26" s="20">
        <f>IF('Δρομολόγια'!$P$12,ROUND(ROUND('Δρομολόγια'!$F$12*100,0)*(100-$A26)/100,0)/100*(1-'Δρομολόγια'!$S$12)-'Δρομολόγια'!$R$12,"")</f>
        <v/>
      </c>
      <c r="I26" s="20">
        <f>IF('Δρομολόγια'!$P$13,ROUND(ROUND('Δρομολόγια'!$F$13*100,0)*(100-$A26)/100,0)/100*(1-'Δρομολόγια'!$S$13)-'Δρομολόγια'!$R$13,"")</f>
        <v/>
      </c>
      <c r="J26" s="20">
        <f>IF('Δρομολόγια'!$P$14,ROUND(ROUND('Δρομολόγια'!$F$14*100,0)*(100-$A26)/100,0)/100*(1-'Δρομολόγια'!$S$14)-'Δρομολόγια'!$R$14,"")</f>
        <v/>
      </c>
      <c r="K26" s="20">
        <f>IF('Δρομολόγια'!$P$15,ROUND(ROUND('Δρομολόγια'!$F$15*100,0)*(100-$A26)/100,0)/100*(1-'Δρομολόγια'!$S$15)-'Δρομολόγια'!$R$15,"")</f>
        <v/>
      </c>
      <c r="L26" s="20">
        <f>IF('Δρομολόγια'!$P$16,ROUND(ROUND('Δρομολόγια'!$F$16*100,0)*(100-$A26)/100,0)/100*(1-'Δρομολόγια'!$S$16)-'Δρομολόγια'!$R$16,"")</f>
        <v/>
      </c>
      <c r="M26" s="20">
        <f>IF('Δρομολόγια'!$P$17,ROUND(ROUND('Δρομολόγια'!$F$17*100,0)*(100-$A26)/100,0)/100*(1-'Δρομολόγια'!$S$17)-'Δρομολόγια'!$R$17,"")</f>
        <v/>
      </c>
      <c r="N26" s="20">
        <f>IF('Δρομολόγια'!$P$18,ROUND(ROUND('Δρομολόγια'!$F$18*100,0)*(100-$A26)/100,0)/100*(1-'Δρομολόγια'!$S$18)-'Δρομολόγια'!$R$18,"")</f>
        <v/>
      </c>
      <c r="O26" s="20">
        <f>IF('Δρομολόγια'!$P$19,ROUND(ROUND('Δρομολόγια'!$F$19*100,0)*(100-$A26)/100,0)/100*(1-'Δρομολόγια'!$S$19)-'Δρομολόγια'!$R$19,"")</f>
        <v/>
      </c>
      <c r="P26" s="20">
        <f>IF('Δρομολόγια'!$P$20,ROUND(ROUND('Δρομολόγια'!$F$20*100,0)*(100-$A26)/100,0)/100*(1-'Δρομολόγια'!$S$20)-'Δρομολόγια'!$R$20,"")</f>
        <v/>
      </c>
      <c r="Q26" t="inlineStr">
        <is>
          <t>είκοσι</t>
        </is>
      </c>
    </row>
    <row r="27">
      <c r="A27" t="n">
        <v>21</v>
      </c>
      <c r="B27" s="20">
        <f>IF('Δρομολόγια'!$P$6,ROUND(ROUND('Δρομολόγια'!$F$6*100,0)*(100-$A27)/100,0)/100*(1-'Δρομολόγια'!$S$6)-'Δρομολόγια'!$R$6,"")</f>
        <v/>
      </c>
      <c r="C27" s="20">
        <f>IF('Δρομολόγια'!$P$7,ROUND(ROUND('Δρομολόγια'!$F$7*100,0)*(100-$A27)/100,0)/100*(1-'Δρομολόγια'!$S$7)-'Δρομολόγια'!$R$7,"")</f>
        <v/>
      </c>
      <c r="D27" s="20">
        <f>IF('Δρομολόγια'!$P$8,ROUND(ROUND('Δρομολόγια'!$F$8*100,0)*(100-$A27)/100,0)/100*(1-'Δρομολόγια'!$S$8)-'Δρομολόγια'!$R$8,"")</f>
        <v/>
      </c>
      <c r="E27" s="20">
        <f>IF('Δρομολόγια'!$P$9,ROUND(ROUND('Δρομολόγια'!$F$9*100,0)*(100-$A27)/100,0)/100*(1-'Δρομολόγια'!$S$9)-'Δρομολόγια'!$R$9,"")</f>
        <v/>
      </c>
      <c r="F27" s="20">
        <f>IF('Δρομολόγια'!$P$10,ROUND(ROUND('Δρομολόγια'!$F$10*100,0)*(100-$A27)/100,0)/100*(1-'Δρομολόγια'!$S$10)-'Δρομολόγια'!$R$10,"")</f>
        <v/>
      </c>
      <c r="G27" s="20">
        <f>IF('Δρομολόγια'!$P$11,ROUND(ROUND('Δρομολόγια'!$F$11*100,0)*(100-$A27)/100,0)/100*(1-'Δρομολόγια'!$S$11)-'Δρομολόγια'!$R$11,"")</f>
        <v/>
      </c>
      <c r="H27" s="20">
        <f>IF('Δρομολόγια'!$P$12,ROUND(ROUND('Δρομολόγια'!$F$12*100,0)*(100-$A27)/100,0)/100*(1-'Δρομολόγια'!$S$12)-'Δρομολόγια'!$R$12,"")</f>
        <v/>
      </c>
      <c r="I27" s="20">
        <f>IF('Δρομολόγια'!$P$13,ROUND(ROUND('Δρομολόγια'!$F$13*100,0)*(100-$A27)/100,0)/100*(1-'Δρομολόγια'!$S$13)-'Δρομολόγια'!$R$13,"")</f>
        <v/>
      </c>
      <c r="J27" s="20">
        <f>IF('Δρομολόγια'!$P$14,ROUND(ROUND('Δρομολόγια'!$F$14*100,0)*(100-$A27)/100,0)/100*(1-'Δρομολόγια'!$S$14)-'Δρομολόγια'!$R$14,"")</f>
        <v/>
      </c>
      <c r="K27" s="20">
        <f>IF('Δρομολόγια'!$P$15,ROUND(ROUND('Δρομολόγια'!$F$15*100,0)*(100-$A27)/100,0)/100*(1-'Δρομολόγια'!$S$15)-'Δρομολόγια'!$R$15,"")</f>
        <v/>
      </c>
      <c r="L27" s="20">
        <f>IF('Δρομολόγια'!$P$16,ROUND(ROUND('Δρομολόγια'!$F$16*100,0)*(100-$A27)/100,0)/100*(1-'Δρομολόγια'!$S$16)-'Δρομολόγια'!$R$16,"")</f>
        <v/>
      </c>
      <c r="M27" s="20">
        <f>IF('Δρομολόγια'!$P$17,ROUND(ROUND('Δρομολόγια'!$F$17*100,0)*(100-$A27)/100,0)/100*(1-'Δρομολόγια'!$S$17)-'Δρομολόγια'!$R$17,"")</f>
        <v/>
      </c>
      <c r="N27" s="20">
        <f>IF('Δρομολόγια'!$P$18,ROUND(ROUND('Δρομολόγια'!$F$18*100,0)*(100-$A27)/100,0)/100*(1-'Δρομολόγια'!$S$18)-'Δρομολόγια'!$R$18,"")</f>
        <v/>
      </c>
      <c r="O27" s="20">
        <f>IF('Δρομολόγια'!$P$19,ROUND(ROUND('Δρομολόγια'!$F$19*100,0)*(100-$A27)/100,0)/100*(1-'Δρομολόγια'!$S$19)-'Δρομολόγια'!$R$19,"")</f>
        <v/>
      </c>
      <c r="P27" s="20">
        <f>IF('Δρομολόγια'!$P$20,ROUND(ROUND('Δρομολόγια'!$F$20*100,0)*(100-$A27)/100,0)/100*(1-'Δρομολόγια'!$S$20)-'Δρομολόγια'!$R$20,"")</f>
        <v/>
      </c>
      <c r="Q27" t="inlineStr">
        <is>
          <t>είκοσι ένα</t>
        </is>
      </c>
    </row>
    <row r="28">
      <c r="A28" t="n">
        <v>22</v>
      </c>
      <c r="B28" s="20">
        <f>IF('Δρομολόγια'!$P$6,ROUND(ROUND('Δρομολόγια'!$F$6*100,0)*(100-$A28)/100,0)/100*(1-'Δρομολόγια'!$S$6)-'Δρομολόγια'!$R$6,"")</f>
        <v/>
      </c>
      <c r="C28" s="20">
        <f>IF('Δρομολόγια'!$P$7,ROUND(ROUND('Δρομολόγια'!$F$7*100,0)*(100-$A28)/100,0)/100*(1-'Δρομολόγια'!$S$7)-'Δρομολόγια'!$R$7,"")</f>
        <v/>
      </c>
      <c r="D28" s="20">
        <f>IF('Δρομολόγια'!$P$8,ROUND(ROUND('Δρομολόγια'!$F$8*100,0)*(100-$A28)/100,0)/100*(1-'Δρομολόγια'!$S$8)-'Δρομολόγια'!$R$8,"")</f>
        <v/>
      </c>
      <c r="E28" s="20">
        <f>IF('Δρομολόγια'!$P$9,ROUND(ROUND('Δρομολόγια'!$F$9*100,0)*(100-$A28)/100,0)/100*(1-'Δρομολόγια'!$S$9)-'Δρομολόγια'!$R$9,"")</f>
        <v/>
      </c>
      <c r="F28" s="20">
        <f>IF('Δρομολόγια'!$P$10,ROUND(ROUND('Δρομολόγια'!$F$10*100,0)*(100-$A28)/100,0)/100*(1-'Δρομολόγια'!$S$10)-'Δρομολόγια'!$R$10,"")</f>
        <v/>
      </c>
      <c r="G28" s="20">
        <f>IF('Δρομολόγια'!$P$11,ROUND(ROUND('Δρομολόγια'!$F$11*100,0)*(100-$A28)/100,0)/100*(1-'Δρομολόγια'!$S$11)-'Δρομολόγια'!$R$11,"")</f>
        <v/>
      </c>
      <c r="H28" s="20">
        <f>IF('Δρομολόγια'!$P$12,ROUND(ROUND('Δρομολόγια'!$F$12*100,0)*(100-$A28)/100,0)/100*(1-'Δρομολόγια'!$S$12)-'Δρομολόγια'!$R$12,"")</f>
        <v/>
      </c>
      <c r="I28" s="20">
        <f>IF('Δρομολόγια'!$P$13,ROUND(ROUND('Δρομολόγια'!$F$13*100,0)*(100-$A28)/100,0)/100*(1-'Δρομολόγια'!$S$13)-'Δρομολόγια'!$R$13,"")</f>
        <v/>
      </c>
      <c r="J28" s="20">
        <f>IF('Δρομολόγια'!$P$14,ROUND(ROUND('Δρομολόγια'!$F$14*100,0)*(100-$A28)/100,0)/100*(1-'Δρομολόγια'!$S$14)-'Δρομολόγια'!$R$14,"")</f>
        <v/>
      </c>
      <c r="K28" s="20">
        <f>IF('Δρομολόγια'!$P$15,ROUND(ROUND('Δρομολόγια'!$F$15*100,0)*(100-$A28)/100,0)/100*(1-'Δρομολόγια'!$S$15)-'Δρομολόγια'!$R$15,"")</f>
        <v/>
      </c>
      <c r="L28" s="20">
        <f>IF('Δρομολόγια'!$P$16,ROUND(ROUND('Δρομολόγια'!$F$16*100,0)*(100-$A28)/100,0)/100*(1-'Δρομολόγια'!$S$16)-'Δρομολόγια'!$R$16,"")</f>
        <v/>
      </c>
      <c r="M28" s="20">
        <f>IF('Δρομολόγια'!$P$17,ROUND(ROUND('Δρομολόγια'!$F$17*100,0)*(100-$A28)/100,0)/100*(1-'Δρομολόγια'!$S$17)-'Δρομολόγια'!$R$17,"")</f>
        <v/>
      </c>
      <c r="N28" s="20">
        <f>IF('Δρομολόγια'!$P$18,ROUND(ROUND('Δρομολόγια'!$F$18*100,0)*(100-$A28)/100,0)/100*(1-'Δρομολόγια'!$S$18)-'Δρομολόγια'!$R$18,"")</f>
        <v/>
      </c>
      <c r="O28" s="20">
        <f>IF('Δρομολόγια'!$P$19,ROUND(ROUND('Δρομολόγια'!$F$19*100,0)*(100-$A28)/100,0)/100*(1-'Δρομολόγια'!$S$19)-'Δρομολόγια'!$R$19,"")</f>
        <v/>
      </c>
      <c r="P28" s="20">
        <f>IF('Δρομολόγια'!$P$20,ROUND(ROUND('Δρομολόγια'!$F$20*100,0)*(100-$A28)/100,0)/100*(1-'Δρομολόγια'!$S$20)-'Δρομολόγια'!$R$20,"")</f>
        <v/>
      </c>
      <c r="Q28" t="inlineStr">
        <is>
          <t>είκοσι δύο</t>
        </is>
      </c>
    </row>
    <row r="29">
      <c r="A29" t="n">
        <v>23</v>
      </c>
      <c r="B29" s="20">
        <f>IF('Δρομολόγια'!$P$6,ROUND(ROUND('Δρομολόγια'!$F$6*100,0)*(100-$A29)/100,0)/100*(1-'Δρομολόγια'!$S$6)-'Δρομολόγια'!$R$6,"")</f>
        <v/>
      </c>
      <c r="C29" s="20">
        <f>IF('Δρομολόγια'!$P$7,ROUND(ROUND('Δρομολόγια'!$F$7*100,0)*(100-$A29)/100,0)/100*(1-'Δρομολόγια'!$S$7)-'Δρομολόγια'!$R$7,"")</f>
        <v/>
      </c>
      <c r="D29" s="20">
        <f>IF('Δρομολόγια'!$P$8,ROUND(ROUND('Δρομολόγια'!$F$8*100,0)*(100-$A29)/100,0)/100*(1-'Δρομολόγια'!$S$8)-'Δρομολόγια'!$R$8,"")</f>
        <v/>
      </c>
      <c r="E29" s="20">
        <f>IF('Δρομολόγια'!$P$9,ROUND(ROUND('Δρομολόγια'!$F$9*100,0)*(100-$A29)/100,0)/100*(1-'Δρομολόγια'!$S$9)-'Δρομολόγια'!$R$9,"")</f>
        <v/>
      </c>
      <c r="F29" s="20">
        <f>IF('Δρομολόγια'!$P$10,ROUND(ROUND('Δρομολόγια'!$F$10*100,0)*(100-$A29)/100,0)/100*(1-'Δρομολόγια'!$S$10)-'Δρομολόγια'!$R$10,"")</f>
        <v/>
      </c>
      <c r="G29" s="20">
        <f>IF('Δρομολόγια'!$P$11,ROUND(ROUND('Δρομολόγια'!$F$11*100,0)*(100-$A29)/100,0)/100*(1-'Δρομολόγια'!$S$11)-'Δρομολόγια'!$R$11,"")</f>
        <v/>
      </c>
      <c r="H29" s="20">
        <f>IF('Δρομολόγια'!$P$12,ROUND(ROUND('Δρομολόγια'!$F$12*100,0)*(100-$A29)/100,0)/100*(1-'Δρομολόγια'!$S$12)-'Δρομολόγια'!$R$12,"")</f>
        <v/>
      </c>
      <c r="I29" s="20">
        <f>IF('Δρομολόγια'!$P$13,ROUND(ROUND('Δρομολόγια'!$F$13*100,0)*(100-$A29)/100,0)/100*(1-'Δρομολόγια'!$S$13)-'Δρομολόγια'!$R$13,"")</f>
        <v/>
      </c>
      <c r="J29" s="20">
        <f>IF('Δρομολόγια'!$P$14,ROUND(ROUND('Δρομολόγια'!$F$14*100,0)*(100-$A29)/100,0)/100*(1-'Δρομολόγια'!$S$14)-'Δρομολόγια'!$R$14,"")</f>
        <v/>
      </c>
      <c r="K29" s="20">
        <f>IF('Δρομολόγια'!$P$15,ROUND(ROUND('Δρομολόγια'!$F$15*100,0)*(100-$A29)/100,0)/100*(1-'Δρομολόγια'!$S$15)-'Δρομολόγια'!$R$15,"")</f>
        <v/>
      </c>
      <c r="L29" s="20">
        <f>IF('Δρομολόγια'!$P$16,ROUND(ROUND('Δρομολόγια'!$F$16*100,0)*(100-$A29)/100,0)/100*(1-'Δρομολόγια'!$S$16)-'Δρομολόγια'!$R$16,"")</f>
        <v/>
      </c>
      <c r="M29" s="20">
        <f>IF('Δρομολόγια'!$P$17,ROUND(ROUND('Δρομολόγια'!$F$17*100,0)*(100-$A29)/100,0)/100*(1-'Δρομολόγια'!$S$17)-'Δρομολόγια'!$R$17,"")</f>
        <v/>
      </c>
      <c r="N29" s="20">
        <f>IF('Δρομολόγια'!$P$18,ROUND(ROUND('Δρομολόγια'!$F$18*100,0)*(100-$A29)/100,0)/100*(1-'Δρομολόγια'!$S$18)-'Δρομολόγια'!$R$18,"")</f>
        <v/>
      </c>
      <c r="O29" s="20">
        <f>IF('Δρομολόγια'!$P$19,ROUND(ROUND('Δρομολόγια'!$F$19*100,0)*(100-$A29)/100,0)/100*(1-'Δρομολόγια'!$S$19)-'Δρομολόγια'!$R$19,"")</f>
        <v/>
      </c>
      <c r="P29" s="20">
        <f>IF('Δρομολόγια'!$P$20,ROUND(ROUND('Δρομολόγια'!$F$20*100,0)*(100-$A29)/100,0)/100*(1-'Δρομολόγια'!$S$20)-'Δρομολόγια'!$R$20,"")</f>
        <v/>
      </c>
      <c r="Q29" t="inlineStr">
        <is>
          <t>είκοσι τρία</t>
        </is>
      </c>
    </row>
    <row r="30">
      <c r="A30" t="n">
        <v>24</v>
      </c>
      <c r="B30" s="20">
        <f>IF('Δρομολόγια'!$P$6,ROUND(ROUND('Δρομολόγια'!$F$6*100,0)*(100-$A30)/100,0)/100*(1-'Δρομολόγια'!$S$6)-'Δρομολόγια'!$R$6,"")</f>
        <v/>
      </c>
      <c r="C30" s="20">
        <f>IF('Δρομολόγια'!$P$7,ROUND(ROUND('Δρομολόγια'!$F$7*100,0)*(100-$A30)/100,0)/100*(1-'Δρομολόγια'!$S$7)-'Δρομολόγια'!$R$7,"")</f>
        <v/>
      </c>
      <c r="D30" s="20">
        <f>IF('Δρομολόγια'!$P$8,ROUND(ROUND('Δρομολόγια'!$F$8*100,0)*(100-$A30)/100,0)/100*(1-'Δρομολόγια'!$S$8)-'Δρομολόγια'!$R$8,"")</f>
        <v/>
      </c>
      <c r="E30" s="20">
        <f>IF('Δρομολόγια'!$P$9,ROUND(ROUND('Δρομολόγια'!$F$9*100,0)*(100-$A30)/100,0)/100*(1-'Δρομολόγια'!$S$9)-'Δρομολόγια'!$R$9,"")</f>
        <v/>
      </c>
      <c r="F30" s="20">
        <f>IF('Δρομολόγια'!$P$10,ROUND(ROUND('Δρομολόγια'!$F$10*100,0)*(100-$A30)/100,0)/100*(1-'Δρομολόγια'!$S$10)-'Δρομολόγια'!$R$10,"")</f>
        <v/>
      </c>
      <c r="G30" s="20">
        <f>IF('Δρομολόγια'!$P$11,ROUND(ROUND('Δρομολόγια'!$F$11*100,0)*(100-$A30)/100,0)/100*(1-'Δρομολόγια'!$S$11)-'Δρομολόγια'!$R$11,"")</f>
        <v/>
      </c>
      <c r="H30" s="20">
        <f>IF('Δρομολόγια'!$P$12,ROUND(ROUND('Δρομολόγια'!$F$12*100,0)*(100-$A30)/100,0)/100*(1-'Δρομολόγια'!$S$12)-'Δρομολόγια'!$R$12,"")</f>
        <v/>
      </c>
      <c r="I30" s="20">
        <f>IF('Δρομολόγια'!$P$13,ROUND(ROUND('Δρομολόγια'!$F$13*100,0)*(100-$A30)/100,0)/100*(1-'Δρομολόγια'!$S$13)-'Δρομολόγια'!$R$13,"")</f>
        <v/>
      </c>
      <c r="J30" s="20">
        <f>IF('Δρομολόγια'!$P$14,ROUND(ROUND('Δρομολόγια'!$F$14*100,0)*(100-$A30)/100,0)/100*(1-'Δρομολόγια'!$S$14)-'Δρομολόγια'!$R$14,"")</f>
        <v/>
      </c>
      <c r="K30" s="20">
        <f>IF('Δρομολόγια'!$P$15,ROUND(ROUND('Δρομολόγια'!$F$15*100,0)*(100-$A30)/100,0)/100*(1-'Δρομολόγια'!$S$15)-'Δρομολόγια'!$R$15,"")</f>
        <v/>
      </c>
      <c r="L30" s="20">
        <f>IF('Δρομολόγια'!$P$16,ROUND(ROUND('Δρομολόγια'!$F$16*100,0)*(100-$A30)/100,0)/100*(1-'Δρομολόγια'!$S$16)-'Δρομολόγια'!$R$16,"")</f>
        <v/>
      </c>
      <c r="M30" s="20">
        <f>IF('Δρομολόγια'!$P$17,ROUND(ROUND('Δρομολόγια'!$F$17*100,0)*(100-$A30)/100,0)/100*(1-'Δρομολόγια'!$S$17)-'Δρομολόγια'!$R$17,"")</f>
        <v/>
      </c>
      <c r="N30" s="20">
        <f>IF('Δρομολόγια'!$P$18,ROUND(ROUND('Δρομολόγια'!$F$18*100,0)*(100-$A30)/100,0)/100*(1-'Δρομολόγια'!$S$18)-'Δρομολόγια'!$R$18,"")</f>
        <v/>
      </c>
      <c r="O30" s="20">
        <f>IF('Δρομολόγια'!$P$19,ROUND(ROUND('Δρομολόγια'!$F$19*100,0)*(100-$A30)/100,0)/100*(1-'Δρομολόγια'!$S$19)-'Δρομολόγια'!$R$19,"")</f>
        <v/>
      </c>
      <c r="P30" s="20">
        <f>IF('Δρομολόγια'!$P$20,ROUND(ROUND('Δρομολόγια'!$F$20*100,0)*(100-$A30)/100,0)/100*(1-'Δρομολόγια'!$S$20)-'Δρομολόγια'!$R$20,"")</f>
        <v/>
      </c>
      <c r="Q30" t="inlineStr">
        <is>
          <t>είκοσι τέσσερα</t>
        </is>
      </c>
    </row>
    <row r="31">
      <c r="A31" t="n">
        <v>25</v>
      </c>
      <c r="B31" s="20">
        <f>IF('Δρομολόγια'!$P$6,ROUND(ROUND('Δρομολόγια'!$F$6*100,0)*(100-$A31)/100,0)/100*(1-'Δρομολόγια'!$S$6)-'Δρομολόγια'!$R$6,"")</f>
        <v/>
      </c>
      <c r="C31" s="20">
        <f>IF('Δρομολόγια'!$P$7,ROUND(ROUND('Δρομολόγια'!$F$7*100,0)*(100-$A31)/100,0)/100*(1-'Δρομολόγια'!$S$7)-'Δρομολόγια'!$R$7,"")</f>
        <v/>
      </c>
      <c r="D31" s="20">
        <f>IF('Δρομολόγια'!$P$8,ROUND(ROUND('Δρομολόγια'!$F$8*100,0)*(100-$A31)/100,0)/100*(1-'Δρομολόγια'!$S$8)-'Δρομολόγια'!$R$8,"")</f>
        <v/>
      </c>
      <c r="E31" s="20">
        <f>IF('Δρομολόγια'!$P$9,ROUND(ROUND('Δρομολόγια'!$F$9*100,0)*(100-$A31)/100,0)/100*(1-'Δρομολόγια'!$S$9)-'Δρομολόγια'!$R$9,"")</f>
        <v/>
      </c>
      <c r="F31" s="20">
        <f>IF('Δρομολόγια'!$P$10,ROUND(ROUND('Δρομολόγια'!$F$10*100,0)*(100-$A31)/100,0)/100*(1-'Δρομολόγια'!$S$10)-'Δρομολόγια'!$R$10,"")</f>
        <v/>
      </c>
      <c r="G31" s="20">
        <f>IF('Δρομολόγια'!$P$11,ROUND(ROUND('Δρομολόγια'!$F$11*100,0)*(100-$A31)/100,0)/100*(1-'Δρομολόγια'!$S$11)-'Δρομολόγια'!$R$11,"")</f>
        <v/>
      </c>
      <c r="H31" s="20">
        <f>IF('Δρομολόγια'!$P$12,ROUND(ROUND('Δρομολόγια'!$F$12*100,0)*(100-$A31)/100,0)/100*(1-'Δρομολόγια'!$S$12)-'Δρομολόγια'!$R$12,"")</f>
        <v/>
      </c>
      <c r="I31" s="20">
        <f>IF('Δρομολόγια'!$P$13,ROUND(ROUND('Δρομολόγια'!$F$13*100,0)*(100-$A31)/100,0)/100*(1-'Δρομολόγια'!$S$13)-'Δρομολόγια'!$R$13,"")</f>
        <v/>
      </c>
      <c r="J31" s="20">
        <f>IF('Δρομολόγια'!$P$14,ROUND(ROUND('Δρομολόγια'!$F$14*100,0)*(100-$A31)/100,0)/100*(1-'Δρομολόγια'!$S$14)-'Δρομολόγια'!$R$14,"")</f>
        <v/>
      </c>
      <c r="K31" s="20">
        <f>IF('Δρομολόγια'!$P$15,ROUND(ROUND('Δρομολόγια'!$F$15*100,0)*(100-$A31)/100,0)/100*(1-'Δρομολόγια'!$S$15)-'Δρομολόγια'!$R$15,"")</f>
        <v/>
      </c>
      <c r="L31" s="20">
        <f>IF('Δρομολόγια'!$P$16,ROUND(ROUND('Δρομολόγια'!$F$16*100,0)*(100-$A31)/100,0)/100*(1-'Δρομολόγια'!$S$16)-'Δρομολόγια'!$R$16,"")</f>
        <v/>
      </c>
      <c r="M31" s="20">
        <f>IF('Δρομολόγια'!$P$17,ROUND(ROUND('Δρομολόγια'!$F$17*100,0)*(100-$A31)/100,0)/100*(1-'Δρομολόγια'!$S$17)-'Δρομολόγια'!$R$17,"")</f>
        <v/>
      </c>
      <c r="N31" s="20">
        <f>IF('Δρομολόγια'!$P$18,ROUND(ROUND('Δρομολόγια'!$F$18*100,0)*(100-$A31)/100,0)/100*(1-'Δρομολόγια'!$S$18)-'Δρομολόγια'!$R$18,"")</f>
        <v/>
      </c>
      <c r="O31" s="20">
        <f>IF('Δρομολόγια'!$P$19,ROUND(ROUND('Δρομολόγια'!$F$19*100,0)*(100-$A31)/100,0)/100*(1-'Δρομολόγια'!$S$19)-'Δρομολόγια'!$R$19,"")</f>
        <v/>
      </c>
      <c r="P31" s="20">
        <f>IF('Δρομολόγια'!$P$20,ROUND(ROUND('Δρομολόγια'!$F$20*100,0)*(100-$A31)/100,0)/100*(1-'Δρομολόγια'!$S$20)-'Δρομολόγια'!$R$20,"")</f>
        <v/>
      </c>
      <c r="Q31" t="inlineStr">
        <is>
          <t>είκοσι πέντε</t>
        </is>
      </c>
    </row>
    <row r="32">
      <c r="A32" t="n">
        <v>26</v>
      </c>
      <c r="B32" s="20">
        <f>IF('Δρομολόγια'!$P$6,ROUND(ROUND('Δρομολόγια'!$F$6*100,0)*(100-$A32)/100,0)/100*(1-'Δρομολόγια'!$S$6)-'Δρομολόγια'!$R$6,"")</f>
        <v/>
      </c>
      <c r="C32" s="20">
        <f>IF('Δρομολόγια'!$P$7,ROUND(ROUND('Δρομολόγια'!$F$7*100,0)*(100-$A32)/100,0)/100*(1-'Δρομολόγια'!$S$7)-'Δρομολόγια'!$R$7,"")</f>
        <v/>
      </c>
      <c r="D32" s="20">
        <f>IF('Δρομολόγια'!$P$8,ROUND(ROUND('Δρομολόγια'!$F$8*100,0)*(100-$A32)/100,0)/100*(1-'Δρομολόγια'!$S$8)-'Δρομολόγια'!$R$8,"")</f>
        <v/>
      </c>
      <c r="E32" s="20">
        <f>IF('Δρομολόγια'!$P$9,ROUND(ROUND('Δρομολόγια'!$F$9*100,0)*(100-$A32)/100,0)/100*(1-'Δρομολόγια'!$S$9)-'Δρομολόγια'!$R$9,"")</f>
        <v/>
      </c>
      <c r="F32" s="20">
        <f>IF('Δρομολόγια'!$P$10,ROUND(ROUND('Δρομολόγια'!$F$10*100,0)*(100-$A32)/100,0)/100*(1-'Δρομολόγια'!$S$10)-'Δρομολόγια'!$R$10,"")</f>
        <v/>
      </c>
      <c r="G32" s="20">
        <f>IF('Δρομολόγια'!$P$11,ROUND(ROUND('Δρομολόγια'!$F$11*100,0)*(100-$A32)/100,0)/100*(1-'Δρομολόγια'!$S$11)-'Δρομολόγια'!$R$11,"")</f>
        <v/>
      </c>
      <c r="H32" s="20">
        <f>IF('Δρομολόγια'!$P$12,ROUND(ROUND('Δρομολόγια'!$F$12*100,0)*(100-$A32)/100,0)/100*(1-'Δρομολόγια'!$S$12)-'Δρομολόγια'!$R$12,"")</f>
        <v/>
      </c>
      <c r="I32" s="20">
        <f>IF('Δρομολόγια'!$P$13,ROUND(ROUND('Δρομολόγια'!$F$13*100,0)*(100-$A32)/100,0)/100*(1-'Δρομολόγια'!$S$13)-'Δρομολόγια'!$R$13,"")</f>
        <v/>
      </c>
      <c r="J32" s="20">
        <f>IF('Δρομολόγια'!$P$14,ROUND(ROUND('Δρομολόγια'!$F$14*100,0)*(100-$A32)/100,0)/100*(1-'Δρομολόγια'!$S$14)-'Δρομολόγια'!$R$14,"")</f>
        <v/>
      </c>
      <c r="K32" s="20">
        <f>IF('Δρομολόγια'!$P$15,ROUND(ROUND('Δρομολόγια'!$F$15*100,0)*(100-$A32)/100,0)/100*(1-'Δρομολόγια'!$S$15)-'Δρομολόγια'!$R$15,"")</f>
        <v/>
      </c>
      <c r="L32" s="20">
        <f>IF('Δρομολόγια'!$P$16,ROUND(ROUND('Δρομολόγια'!$F$16*100,0)*(100-$A32)/100,0)/100*(1-'Δρομολόγια'!$S$16)-'Δρομολόγια'!$R$16,"")</f>
        <v/>
      </c>
      <c r="M32" s="20">
        <f>IF('Δρομολόγια'!$P$17,ROUND(ROUND('Δρομολόγια'!$F$17*100,0)*(100-$A32)/100,0)/100*(1-'Δρομολόγια'!$S$17)-'Δρομολόγια'!$R$17,"")</f>
        <v/>
      </c>
      <c r="N32" s="20">
        <f>IF('Δρομολόγια'!$P$18,ROUND(ROUND('Δρομολόγια'!$F$18*100,0)*(100-$A32)/100,0)/100*(1-'Δρομολόγια'!$S$18)-'Δρομολόγια'!$R$18,"")</f>
        <v/>
      </c>
      <c r="O32" s="20">
        <f>IF('Δρομολόγια'!$P$19,ROUND(ROUND('Δρομολόγια'!$F$19*100,0)*(100-$A32)/100,0)/100*(1-'Δρομολόγια'!$S$19)-'Δρομολόγια'!$R$19,"")</f>
        <v/>
      </c>
      <c r="P32" s="20">
        <f>IF('Δρομολόγια'!$P$20,ROUND(ROUND('Δρομολόγια'!$F$20*100,0)*(100-$A32)/100,0)/100*(1-'Δρομολόγια'!$S$20)-'Δρομολόγια'!$R$20,"")</f>
        <v/>
      </c>
      <c r="Q32" t="inlineStr">
        <is>
          <t>είκοσι έξι</t>
        </is>
      </c>
    </row>
    <row r="33">
      <c r="A33" t="n">
        <v>27</v>
      </c>
      <c r="B33" s="20">
        <f>IF('Δρομολόγια'!$P$6,ROUND(ROUND('Δρομολόγια'!$F$6*100,0)*(100-$A33)/100,0)/100*(1-'Δρομολόγια'!$S$6)-'Δρομολόγια'!$R$6,"")</f>
        <v/>
      </c>
      <c r="C33" s="20">
        <f>IF('Δρομολόγια'!$P$7,ROUND(ROUND('Δρομολόγια'!$F$7*100,0)*(100-$A33)/100,0)/100*(1-'Δρομολόγια'!$S$7)-'Δρομολόγια'!$R$7,"")</f>
        <v/>
      </c>
      <c r="D33" s="20">
        <f>IF('Δρομολόγια'!$P$8,ROUND(ROUND('Δρομολόγια'!$F$8*100,0)*(100-$A33)/100,0)/100*(1-'Δρομολόγια'!$S$8)-'Δρομολόγια'!$R$8,"")</f>
        <v/>
      </c>
      <c r="E33" s="20">
        <f>IF('Δρομολόγια'!$P$9,ROUND(ROUND('Δρομολόγια'!$F$9*100,0)*(100-$A33)/100,0)/100*(1-'Δρομολόγια'!$S$9)-'Δρομολόγια'!$R$9,"")</f>
        <v/>
      </c>
      <c r="F33" s="20">
        <f>IF('Δρομολόγια'!$P$10,ROUND(ROUND('Δρομολόγια'!$F$10*100,0)*(100-$A33)/100,0)/100*(1-'Δρομολόγια'!$S$10)-'Δρομολόγια'!$R$10,"")</f>
        <v/>
      </c>
      <c r="G33" s="20">
        <f>IF('Δρομολόγια'!$P$11,ROUND(ROUND('Δρομολόγια'!$F$11*100,0)*(100-$A33)/100,0)/100*(1-'Δρομολόγια'!$S$11)-'Δρομολόγια'!$R$11,"")</f>
        <v/>
      </c>
      <c r="H33" s="20">
        <f>IF('Δρομολόγια'!$P$12,ROUND(ROUND('Δρομολόγια'!$F$12*100,0)*(100-$A33)/100,0)/100*(1-'Δρομολόγια'!$S$12)-'Δρομολόγια'!$R$12,"")</f>
        <v/>
      </c>
      <c r="I33" s="20">
        <f>IF('Δρομολόγια'!$P$13,ROUND(ROUND('Δρομολόγια'!$F$13*100,0)*(100-$A33)/100,0)/100*(1-'Δρομολόγια'!$S$13)-'Δρομολόγια'!$R$13,"")</f>
        <v/>
      </c>
      <c r="J33" s="20">
        <f>IF('Δρομολόγια'!$P$14,ROUND(ROUND('Δρομολόγια'!$F$14*100,0)*(100-$A33)/100,0)/100*(1-'Δρομολόγια'!$S$14)-'Δρομολόγια'!$R$14,"")</f>
        <v/>
      </c>
      <c r="K33" s="20">
        <f>IF('Δρομολόγια'!$P$15,ROUND(ROUND('Δρομολόγια'!$F$15*100,0)*(100-$A33)/100,0)/100*(1-'Δρομολόγια'!$S$15)-'Δρομολόγια'!$R$15,"")</f>
        <v/>
      </c>
      <c r="L33" s="20">
        <f>IF('Δρομολόγια'!$P$16,ROUND(ROUND('Δρομολόγια'!$F$16*100,0)*(100-$A33)/100,0)/100*(1-'Δρομολόγια'!$S$16)-'Δρομολόγια'!$R$16,"")</f>
        <v/>
      </c>
      <c r="M33" s="20">
        <f>IF('Δρομολόγια'!$P$17,ROUND(ROUND('Δρομολόγια'!$F$17*100,0)*(100-$A33)/100,0)/100*(1-'Δρομολόγια'!$S$17)-'Δρομολόγια'!$R$17,"")</f>
        <v/>
      </c>
      <c r="N33" s="20">
        <f>IF('Δρομολόγια'!$P$18,ROUND(ROUND('Δρομολόγια'!$F$18*100,0)*(100-$A33)/100,0)/100*(1-'Δρομολόγια'!$S$18)-'Δρομολόγια'!$R$18,"")</f>
        <v/>
      </c>
      <c r="O33" s="20">
        <f>IF('Δρομολόγια'!$P$19,ROUND(ROUND('Δρομολόγια'!$F$19*100,0)*(100-$A33)/100,0)/100*(1-'Δρομολόγια'!$S$19)-'Δρομολόγια'!$R$19,"")</f>
        <v/>
      </c>
      <c r="P33" s="20">
        <f>IF('Δρομολόγια'!$P$20,ROUND(ROUND('Δρομολόγια'!$F$20*100,0)*(100-$A33)/100,0)/100*(1-'Δρομολόγια'!$S$20)-'Δρομολόγια'!$R$20,"")</f>
        <v/>
      </c>
      <c r="Q33" t="inlineStr">
        <is>
          <t>είκοσι επτά</t>
        </is>
      </c>
    </row>
    <row r="34">
      <c r="A34" t="n">
        <v>28</v>
      </c>
      <c r="B34" s="20">
        <f>IF('Δρομολόγια'!$P$6,ROUND(ROUND('Δρομολόγια'!$F$6*100,0)*(100-$A34)/100,0)/100*(1-'Δρομολόγια'!$S$6)-'Δρομολόγια'!$R$6,"")</f>
        <v/>
      </c>
      <c r="C34" s="20">
        <f>IF('Δρομολόγια'!$P$7,ROUND(ROUND('Δρομολόγια'!$F$7*100,0)*(100-$A34)/100,0)/100*(1-'Δρομολόγια'!$S$7)-'Δρομολόγια'!$R$7,"")</f>
        <v/>
      </c>
      <c r="D34" s="20">
        <f>IF('Δρομολόγια'!$P$8,ROUND(ROUND('Δρομολόγια'!$F$8*100,0)*(100-$A34)/100,0)/100*(1-'Δρομολόγια'!$S$8)-'Δρομολόγια'!$R$8,"")</f>
        <v/>
      </c>
      <c r="E34" s="20">
        <f>IF('Δρομολόγια'!$P$9,ROUND(ROUND('Δρομολόγια'!$F$9*100,0)*(100-$A34)/100,0)/100*(1-'Δρομολόγια'!$S$9)-'Δρομολόγια'!$R$9,"")</f>
        <v/>
      </c>
      <c r="F34" s="20">
        <f>IF('Δρομολόγια'!$P$10,ROUND(ROUND('Δρομολόγια'!$F$10*100,0)*(100-$A34)/100,0)/100*(1-'Δρομολόγια'!$S$10)-'Δρομολόγια'!$R$10,"")</f>
        <v/>
      </c>
      <c r="G34" s="20">
        <f>IF('Δρομολόγια'!$P$11,ROUND(ROUND('Δρομολόγια'!$F$11*100,0)*(100-$A34)/100,0)/100*(1-'Δρομολόγια'!$S$11)-'Δρομολόγια'!$R$11,"")</f>
        <v/>
      </c>
      <c r="H34" s="20">
        <f>IF('Δρομολόγια'!$P$12,ROUND(ROUND('Δρομολόγια'!$F$12*100,0)*(100-$A34)/100,0)/100*(1-'Δρομολόγια'!$S$12)-'Δρομολόγια'!$R$12,"")</f>
        <v/>
      </c>
      <c r="I34" s="20">
        <f>IF('Δρομολόγια'!$P$13,ROUND(ROUND('Δρομολόγια'!$F$13*100,0)*(100-$A34)/100,0)/100*(1-'Δρομολόγια'!$S$13)-'Δρομολόγια'!$R$13,"")</f>
        <v/>
      </c>
      <c r="J34" s="20">
        <f>IF('Δρομολόγια'!$P$14,ROUND(ROUND('Δρομολόγια'!$F$14*100,0)*(100-$A34)/100,0)/100*(1-'Δρομολόγια'!$S$14)-'Δρομολόγια'!$R$14,"")</f>
        <v/>
      </c>
      <c r="K34" s="20">
        <f>IF('Δρομολόγια'!$P$15,ROUND(ROUND('Δρομολόγια'!$F$15*100,0)*(100-$A34)/100,0)/100*(1-'Δρομολόγια'!$S$15)-'Δρομολόγια'!$R$15,"")</f>
        <v/>
      </c>
      <c r="L34" s="20">
        <f>IF('Δρομολόγια'!$P$16,ROUND(ROUND('Δρομολόγια'!$F$16*100,0)*(100-$A34)/100,0)/100*(1-'Δρομολόγια'!$S$16)-'Δρομολόγια'!$R$16,"")</f>
        <v/>
      </c>
      <c r="M34" s="20">
        <f>IF('Δρομολόγια'!$P$17,ROUND(ROUND('Δρομολόγια'!$F$17*100,0)*(100-$A34)/100,0)/100*(1-'Δρομολόγια'!$S$17)-'Δρομολόγια'!$R$17,"")</f>
        <v/>
      </c>
      <c r="N34" s="20">
        <f>IF('Δρομολόγια'!$P$18,ROUND(ROUND('Δρομολόγια'!$F$18*100,0)*(100-$A34)/100,0)/100*(1-'Δρομολόγια'!$S$18)-'Δρομολόγια'!$R$18,"")</f>
        <v/>
      </c>
      <c r="O34" s="20">
        <f>IF('Δρομολόγια'!$P$19,ROUND(ROUND('Δρομολόγια'!$F$19*100,0)*(100-$A34)/100,0)/100*(1-'Δρομολόγια'!$S$19)-'Δρομολόγια'!$R$19,"")</f>
        <v/>
      </c>
      <c r="P34" s="20">
        <f>IF('Δρομολόγια'!$P$20,ROUND(ROUND('Δρομολόγια'!$F$20*100,0)*(100-$A34)/100,0)/100*(1-'Δρομολόγια'!$S$20)-'Δρομολόγια'!$R$20,"")</f>
        <v/>
      </c>
      <c r="Q34" t="inlineStr">
        <is>
          <t>είκοσι οκτώ</t>
        </is>
      </c>
    </row>
    <row r="35">
      <c r="A35" t="n">
        <v>29</v>
      </c>
      <c r="B35" s="20">
        <f>IF('Δρομολόγια'!$P$6,ROUND(ROUND('Δρομολόγια'!$F$6*100,0)*(100-$A35)/100,0)/100*(1-'Δρομολόγια'!$S$6)-'Δρομολόγια'!$R$6,"")</f>
        <v/>
      </c>
      <c r="C35" s="20">
        <f>IF('Δρομολόγια'!$P$7,ROUND(ROUND('Δρομολόγια'!$F$7*100,0)*(100-$A35)/100,0)/100*(1-'Δρομολόγια'!$S$7)-'Δρομολόγια'!$R$7,"")</f>
        <v/>
      </c>
      <c r="D35" s="20">
        <f>IF('Δρομολόγια'!$P$8,ROUND(ROUND('Δρομολόγια'!$F$8*100,0)*(100-$A35)/100,0)/100*(1-'Δρομολόγια'!$S$8)-'Δρομολόγια'!$R$8,"")</f>
        <v/>
      </c>
      <c r="E35" s="20">
        <f>IF('Δρομολόγια'!$P$9,ROUND(ROUND('Δρομολόγια'!$F$9*100,0)*(100-$A35)/100,0)/100*(1-'Δρομολόγια'!$S$9)-'Δρομολόγια'!$R$9,"")</f>
        <v/>
      </c>
      <c r="F35" s="20">
        <f>IF('Δρομολόγια'!$P$10,ROUND(ROUND('Δρομολόγια'!$F$10*100,0)*(100-$A35)/100,0)/100*(1-'Δρομολόγια'!$S$10)-'Δρομολόγια'!$R$10,"")</f>
        <v/>
      </c>
      <c r="G35" s="20">
        <f>IF('Δρομολόγια'!$P$11,ROUND(ROUND('Δρομολόγια'!$F$11*100,0)*(100-$A35)/100,0)/100*(1-'Δρομολόγια'!$S$11)-'Δρομολόγια'!$R$11,"")</f>
        <v/>
      </c>
      <c r="H35" s="20">
        <f>IF('Δρομολόγια'!$P$12,ROUND(ROUND('Δρομολόγια'!$F$12*100,0)*(100-$A35)/100,0)/100*(1-'Δρομολόγια'!$S$12)-'Δρομολόγια'!$R$12,"")</f>
        <v/>
      </c>
      <c r="I35" s="20">
        <f>IF('Δρομολόγια'!$P$13,ROUND(ROUND('Δρομολόγια'!$F$13*100,0)*(100-$A35)/100,0)/100*(1-'Δρομολόγια'!$S$13)-'Δρομολόγια'!$R$13,"")</f>
        <v/>
      </c>
      <c r="J35" s="20">
        <f>IF('Δρομολόγια'!$P$14,ROUND(ROUND('Δρομολόγια'!$F$14*100,0)*(100-$A35)/100,0)/100*(1-'Δρομολόγια'!$S$14)-'Δρομολόγια'!$R$14,"")</f>
        <v/>
      </c>
      <c r="K35" s="20">
        <f>IF('Δρομολόγια'!$P$15,ROUND(ROUND('Δρομολόγια'!$F$15*100,0)*(100-$A35)/100,0)/100*(1-'Δρομολόγια'!$S$15)-'Δρομολόγια'!$R$15,"")</f>
        <v/>
      </c>
      <c r="L35" s="20">
        <f>IF('Δρομολόγια'!$P$16,ROUND(ROUND('Δρομολόγια'!$F$16*100,0)*(100-$A35)/100,0)/100*(1-'Δρομολόγια'!$S$16)-'Δρομολόγια'!$R$16,"")</f>
        <v/>
      </c>
      <c r="M35" s="20">
        <f>IF('Δρομολόγια'!$P$17,ROUND(ROUND('Δρομολόγια'!$F$17*100,0)*(100-$A35)/100,0)/100*(1-'Δρομολόγια'!$S$17)-'Δρομολόγια'!$R$17,"")</f>
        <v/>
      </c>
      <c r="N35" s="20">
        <f>IF('Δρομολόγια'!$P$18,ROUND(ROUND('Δρομολόγια'!$F$18*100,0)*(100-$A35)/100,0)/100*(1-'Δρομολόγια'!$S$18)-'Δρομολόγια'!$R$18,"")</f>
        <v/>
      </c>
      <c r="O35" s="20">
        <f>IF('Δρομολόγια'!$P$19,ROUND(ROUND('Δρομολόγια'!$F$19*100,0)*(100-$A35)/100,0)/100*(1-'Δρομολόγια'!$S$19)-'Δρομολόγια'!$R$19,"")</f>
        <v/>
      </c>
      <c r="P35" s="20">
        <f>IF('Δρομολόγια'!$P$20,ROUND(ROUND('Δρομολόγια'!$F$20*100,0)*(100-$A35)/100,0)/100*(1-'Δρομολόγια'!$S$20)-'Δρομολόγια'!$R$20,"")</f>
        <v/>
      </c>
      <c r="Q35" t="inlineStr">
        <is>
          <t>είκοσι εννέα</t>
        </is>
      </c>
    </row>
    <row r="36">
      <c r="A36" t="n">
        <v>30</v>
      </c>
      <c r="B36" s="20">
        <f>IF('Δρομολόγια'!$P$6,ROUND(ROUND('Δρομολόγια'!$F$6*100,0)*(100-$A36)/100,0)/100*(1-'Δρομολόγια'!$S$6)-'Δρομολόγια'!$R$6,"")</f>
        <v/>
      </c>
      <c r="C36" s="20">
        <f>IF('Δρομολόγια'!$P$7,ROUND(ROUND('Δρομολόγια'!$F$7*100,0)*(100-$A36)/100,0)/100*(1-'Δρομολόγια'!$S$7)-'Δρομολόγια'!$R$7,"")</f>
        <v/>
      </c>
      <c r="D36" s="20">
        <f>IF('Δρομολόγια'!$P$8,ROUND(ROUND('Δρομολόγια'!$F$8*100,0)*(100-$A36)/100,0)/100*(1-'Δρομολόγια'!$S$8)-'Δρομολόγια'!$R$8,"")</f>
        <v/>
      </c>
      <c r="E36" s="20">
        <f>IF('Δρομολόγια'!$P$9,ROUND(ROUND('Δρομολόγια'!$F$9*100,0)*(100-$A36)/100,0)/100*(1-'Δρομολόγια'!$S$9)-'Δρομολόγια'!$R$9,"")</f>
        <v/>
      </c>
      <c r="F36" s="20">
        <f>IF('Δρομολόγια'!$P$10,ROUND(ROUND('Δρομολόγια'!$F$10*100,0)*(100-$A36)/100,0)/100*(1-'Δρομολόγια'!$S$10)-'Δρομολόγια'!$R$10,"")</f>
        <v/>
      </c>
      <c r="G36" s="20">
        <f>IF('Δρομολόγια'!$P$11,ROUND(ROUND('Δρομολόγια'!$F$11*100,0)*(100-$A36)/100,0)/100*(1-'Δρομολόγια'!$S$11)-'Δρομολόγια'!$R$11,"")</f>
        <v/>
      </c>
      <c r="H36" s="20">
        <f>IF('Δρομολόγια'!$P$12,ROUND(ROUND('Δρομολόγια'!$F$12*100,0)*(100-$A36)/100,0)/100*(1-'Δρομολόγια'!$S$12)-'Δρομολόγια'!$R$12,"")</f>
        <v/>
      </c>
      <c r="I36" s="20">
        <f>IF('Δρομολόγια'!$P$13,ROUND(ROUND('Δρομολόγια'!$F$13*100,0)*(100-$A36)/100,0)/100*(1-'Δρομολόγια'!$S$13)-'Δρομολόγια'!$R$13,"")</f>
        <v/>
      </c>
      <c r="J36" s="20">
        <f>IF('Δρομολόγια'!$P$14,ROUND(ROUND('Δρομολόγια'!$F$14*100,0)*(100-$A36)/100,0)/100*(1-'Δρομολόγια'!$S$14)-'Δρομολόγια'!$R$14,"")</f>
        <v/>
      </c>
      <c r="K36" s="20">
        <f>IF('Δρομολόγια'!$P$15,ROUND(ROUND('Δρομολόγια'!$F$15*100,0)*(100-$A36)/100,0)/100*(1-'Δρομολόγια'!$S$15)-'Δρομολόγια'!$R$15,"")</f>
        <v/>
      </c>
      <c r="L36" s="20">
        <f>IF('Δρομολόγια'!$P$16,ROUND(ROUND('Δρομολόγια'!$F$16*100,0)*(100-$A36)/100,0)/100*(1-'Δρομολόγια'!$S$16)-'Δρομολόγια'!$R$16,"")</f>
        <v/>
      </c>
      <c r="M36" s="20">
        <f>IF('Δρομολόγια'!$P$17,ROUND(ROUND('Δρομολόγια'!$F$17*100,0)*(100-$A36)/100,0)/100*(1-'Δρομολόγια'!$S$17)-'Δρομολόγια'!$R$17,"")</f>
        <v/>
      </c>
      <c r="N36" s="20">
        <f>IF('Δρομολόγια'!$P$18,ROUND(ROUND('Δρομολόγια'!$F$18*100,0)*(100-$A36)/100,0)/100*(1-'Δρομολόγια'!$S$18)-'Δρομολόγια'!$R$18,"")</f>
        <v/>
      </c>
      <c r="O36" s="20">
        <f>IF('Δρομολόγια'!$P$19,ROUND(ROUND('Δρομολόγια'!$F$19*100,0)*(100-$A36)/100,0)/100*(1-'Δρομολόγια'!$S$19)-'Δρομολόγια'!$R$19,"")</f>
        <v/>
      </c>
      <c r="P36" s="20">
        <f>IF('Δρομολόγια'!$P$20,ROUND(ROUND('Δρομολόγια'!$F$20*100,0)*(100-$A36)/100,0)/100*(1-'Δρομολόγια'!$S$20)-'Δρομολόγια'!$R$20,"")</f>
        <v/>
      </c>
      <c r="Q36" t="inlineStr">
        <is>
          <t>τριάντα</t>
        </is>
      </c>
    </row>
    <row r="37">
      <c r="A37" t="n">
        <v>31</v>
      </c>
      <c r="B37" s="20">
        <f>IF('Δρομολόγια'!$P$6,ROUND(ROUND('Δρομολόγια'!$F$6*100,0)*(100-$A37)/100,0)/100*(1-'Δρομολόγια'!$S$6)-'Δρομολόγια'!$R$6,"")</f>
        <v/>
      </c>
      <c r="C37" s="20">
        <f>IF('Δρομολόγια'!$P$7,ROUND(ROUND('Δρομολόγια'!$F$7*100,0)*(100-$A37)/100,0)/100*(1-'Δρομολόγια'!$S$7)-'Δρομολόγια'!$R$7,"")</f>
        <v/>
      </c>
      <c r="D37" s="20">
        <f>IF('Δρομολόγια'!$P$8,ROUND(ROUND('Δρομολόγια'!$F$8*100,0)*(100-$A37)/100,0)/100*(1-'Δρομολόγια'!$S$8)-'Δρομολόγια'!$R$8,"")</f>
        <v/>
      </c>
      <c r="E37" s="20">
        <f>IF('Δρομολόγια'!$P$9,ROUND(ROUND('Δρομολόγια'!$F$9*100,0)*(100-$A37)/100,0)/100*(1-'Δρομολόγια'!$S$9)-'Δρομολόγια'!$R$9,"")</f>
        <v/>
      </c>
      <c r="F37" s="20">
        <f>IF('Δρομολόγια'!$P$10,ROUND(ROUND('Δρομολόγια'!$F$10*100,0)*(100-$A37)/100,0)/100*(1-'Δρομολόγια'!$S$10)-'Δρομολόγια'!$R$10,"")</f>
        <v/>
      </c>
      <c r="G37" s="20">
        <f>IF('Δρομολόγια'!$P$11,ROUND(ROUND('Δρομολόγια'!$F$11*100,0)*(100-$A37)/100,0)/100*(1-'Δρομολόγια'!$S$11)-'Δρομολόγια'!$R$11,"")</f>
        <v/>
      </c>
      <c r="H37" s="20">
        <f>IF('Δρομολόγια'!$P$12,ROUND(ROUND('Δρομολόγια'!$F$12*100,0)*(100-$A37)/100,0)/100*(1-'Δρομολόγια'!$S$12)-'Δρομολόγια'!$R$12,"")</f>
        <v/>
      </c>
      <c r="I37" s="20">
        <f>IF('Δρομολόγια'!$P$13,ROUND(ROUND('Δρομολόγια'!$F$13*100,0)*(100-$A37)/100,0)/100*(1-'Δρομολόγια'!$S$13)-'Δρομολόγια'!$R$13,"")</f>
        <v/>
      </c>
      <c r="J37" s="20">
        <f>IF('Δρομολόγια'!$P$14,ROUND(ROUND('Δρομολόγια'!$F$14*100,0)*(100-$A37)/100,0)/100*(1-'Δρομολόγια'!$S$14)-'Δρομολόγια'!$R$14,"")</f>
        <v/>
      </c>
      <c r="K37" s="20">
        <f>IF('Δρομολόγια'!$P$15,ROUND(ROUND('Δρομολόγια'!$F$15*100,0)*(100-$A37)/100,0)/100*(1-'Δρομολόγια'!$S$15)-'Δρομολόγια'!$R$15,"")</f>
        <v/>
      </c>
      <c r="L37" s="20">
        <f>IF('Δρομολόγια'!$P$16,ROUND(ROUND('Δρομολόγια'!$F$16*100,0)*(100-$A37)/100,0)/100*(1-'Δρομολόγια'!$S$16)-'Δρομολόγια'!$R$16,"")</f>
        <v/>
      </c>
      <c r="M37" s="20">
        <f>IF('Δρομολόγια'!$P$17,ROUND(ROUND('Δρομολόγια'!$F$17*100,0)*(100-$A37)/100,0)/100*(1-'Δρομολόγια'!$S$17)-'Δρομολόγια'!$R$17,"")</f>
        <v/>
      </c>
      <c r="N37" s="20">
        <f>IF('Δρομολόγια'!$P$18,ROUND(ROUND('Δρομολόγια'!$F$18*100,0)*(100-$A37)/100,0)/100*(1-'Δρομολόγια'!$S$18)-'Δρομολόγια'!$R$18,"")</f>
        <v/>
      </c>
      <c r="O37" s="20">
        <f>IF('Δρομολόγια'!$P$19,ROUND(ROUND('Δρομολόγια'!$F$19*100,0)*(100-$A37)/100,0)/100*(1-'Δρομολόγια'!$S$19)-'Δρομολόγια'!$R$19,"")</f>
        <v/>
      </c>
      <c r="P37" s="20">
        <f>IF('Δρομολόγια'!$P$20,ROUND(ROUND('Δρομολόγια'!$F$20*100,0)*(100-$A37)/100,0)/100*(1-'Δρομολόγια'!$S$20)-'Δρομολόγια'!$R$20,"")</f>
        <v/>
      </c>
      <c r="Q37" t="inlineStr">
        <is>
          <t>τριάντα ένα</t>
        </is>
      </c>
    </row>
    <row r="38">
      <c r="A38" t="n">
        <v>32</v>
      </c>
      <c r="B38" s="20">
        <f>IF('Δρομολόγια'!$P$6,ROUND(ROUND('Δρομολόγια'!$F$6*100,0)*(100-$A38)/100,0)/100*(1-'Δρομολόγια'!$S$6)-'Δρομολόγια'!$R$6,"")</f>
        <v/>
      </c>
      <c r="C38" s="20">
        <f>IF('Δρομολόγια'!$P$7,ROUND(ROUND('Δρομολόγια'!$F$7*100,0)*(100-$A38)/100,0)/100*(1-'Δρομολόγια'!$S$7)-'Δρομολόγια'!$R$7,"")</f>
        <v/>
      </c>
      <c r="D38" s="20">
        <f>IF('Δρομολόγια'!$P$8,ROUND(ROUND('Δρομολόγια'!$F$8*100,0)*(100-$A38)/100,0)/100*(1-'Δρομολόγια'!$S$8)-'Δρομολόγια'!$R$8,"")</f>
        <v/>
      </c>
      <c r="E38" s="20">
        <f>IF('Δρομολόγια'!$P$9,ROUND(ROUND('Δρομολόγια'!$F$9*100,0)*(100-$A38)/100,0)/100*(1-'Δρομολόγια'!$S$9)-'Δρομολόγια'!$R$9,"")</f>
        <v/>
      </c>
      <c r="F38" s="20">
        <f>IF('Δρομολόγια'!$P$10,ROUND(ROUND('Δρομολόγια'!$F$10*100,0)*(100-$A38)/100,0)/100*(1-'Δρομολόγια'!$S$10)-'Δρομολόγια'!$R$10,"")</f>
        <v/>
      </c>
      <c r="G38" s="20">
        <f>IF('Δρομολόγια'!$P$11,ROUND(ROUND('Δρομολόγια'!$F$11*100,0)*(100-$A38)/100,0)/100*(1-'Δρομολόγια'!$S$11)-'Δρομολόγια'!$R$11,"")</f>
        <v/>
      </c>
      <c r="H38" s="20">
        <f>IF('Δρομολόγια'!$P$12,ROUND(ROUND('Δρομολόγια'!$F$12*100,0)*(100-$A38)/100,0)/100*(1-'Δρομολόγια'!$S$12)-'Δρομολόγια'!$R$12,"")</f>
        <v/>
      </c>
      <c r="I38" s="20">
        <f>IF('Δρομολόγια'!$P$13,ROUND(ROUND('Δρομολόγια'!$F$13*100,0)*(100-$A38)/100,0)/100*(1-'Δρομολόγια'!$S$13)-'Δρομολόγια'!$R$13,"")</f>
        <v/>
      </c>
      <c r="J38" s="20">
        <f>IF('Δρομολόγια'!$P$14,ROUND(ROUND('Δρομολόγια'!$F$14*100,0)*(100-$A38)/100,0)/100*(1-'Δρομολόγια'!$S$14)-'Δρομολόγια'!$R$14,"")</f>
        <v/>
      </c>
      <c r="K38" s="20">
        <f>IF('Δρομολόγια'!$P$15,ROUND(ROUND('Δρομολόγια'!$F$15*100,0)*(100-$A38)/100,0)/100*(1-'Δρομολόγια'!$S$15)-'Δρομολόγια'!$R$15,"")</f>
        <v/>
      </c>
      <c r="L38" s="20">
        <f>IF('Δρομολόγια'!$P$16,ROUND(ROUND('Δρομολόγια'!$F$16*100,0)*(100-$A38)/100,0)/100*(1-'Δρομολόγια'!$S$16)-'Δρομολόγια'!$R$16,"")</f>
        <v/>
      </c>
      <c r="M38" s="20">
        <f>IF('Δρομολόγια'!$P$17,ROUND(ROUND('Δρομολόγια'!$F$17*100,0)*(100-$A38)/100,0)/100*(1-'Δρομολόγια'!$S$17)-'Δρομολόγια'!$R$17,"")</f>
        <v/>
      </c>
      <c r="N38" s="20">
        <f>IF('Δρομολόγια'!$P$18,ROUND(ROUND('Δρομολόγια'!$F$18*100,0)*(100-$A38)/100,0)/100*(1-'Δρομολόγια'!$S$18)-'Δρομολόγια'!$R$18,"")</f>
        <v/>
      </c>
      <c r="O38" s="20">
        <f>IF('Δρομολόγια'!$P$19,ROUND(ROUND('Δρομολόγια'!$F$19*100,0)*(100-$A38)/100,0)/100*(1-'Δρομολόγια'!$S$19)-'Δρομολόγια'!$R$19,"")</f>
        <v/>
      </c>
      <c r="P38" s="20">
        <f>IF('Δρομολόγια'!$P$20,ROUND(ROUND('Δρομολόγια'!$F$20*100,0)*(100-$A38)/100,0)/100*(1-'Δρομολόγια'!$S$20)-'Δρομολόγια'!$R$20,"")</f>
        <v/>
      </c>
      <c r="Q38" t="inlineStr">
        <is>
          <t>τριάντα δύο</t>
        </is>
      </c>
    </row>
    <row r="39">
      <c r="A39" t="n">
        <v>33</v>
      </c>
      <c r="B39" s="20">
        <f>IF('Δρομολόγια'!$P$6,ROUND(ROUND('Δρομολόγια'!$F$6*100,0)*(100-$A39)/100,0)/100*(1-'Δρομολόγια'!$S$6)-'Δρομολόγια'!$R$6,"")</f>
        <v/>
      </c>
      <c r="C39" s="20">
        <f>IF('Δρομολόγια'!$P$7,ROUND(ROUND('Δρομολόγια'!$F$7*100,0)*(100-$A39)/100,0)/100*(1-'Δρομολόγια'!$S$7)-'Δρομολόγια'!$R$7,"")</f>
        <v/>
      </c>
      <c r="D39" s="20">
        <f>IF('Δρομολόγια'!$P$8,ROUND(ROUND('Δρομολόγια'!$F$8*100,0)*(100-$A39)/100,0)/100*(1-'Δρομολόγια'!$S$8)-'Δρομολόγια'!$R$8,"")</f>
        <v/>
      </c>
      <c r="E39" s="20">
        <f>IF('Δρομολόγια'!$P$9,ROUND(ROUND('Δρομολόγια'!$F$9*100,0)*(100-$A39)/100,0)/100*(1-'Δρομολόγια'!$S$9)-'Δρομολόγια'!$R$9,"")</f>
        <v/>
      </c>
      <c r="F39" s="20">
        <f>IF('Δρομολόγια'!$P$10,ROUND(ROUND('Δρομολόγια'!$F$10*100,0)*(100-$A39)/100,0)/100*(1-'Δρομολόγια'!$S$10)-'Δρομολόγια'!$R$10,"")</f>
        <v/>
      </c>
      <c r="G39" s="20">
        <f>IF('Δρομολόγια'!$P$11,ROUND(ROUND('Δρομολόγια'!$F$11*100,0)*(100-$A39)/100,0)/100*(1-'Δρομολόγια'!$S$11)-'Δρομολόγια'!$R$11,"")</f>
        <v/>
      </c>
      <c r="H39" s="20">
        <f>IF('Δρομολόγια'!$P$12,ROUND(ROUND('Δρομολόγια'!$F$12*100,0)*(100-$A39)/100,0)/100*(1-'Δρομολόγια'!$S$12)-'Δρομολόγια'!$R$12,"")</f>
        <v/>
      </c>
      <c r="I39" s="20">
        <f>IF('Δρομολόγια'!$P$13,ROUND(ROUND('Δρομολόγια'!$F$13*100,0)*(100-$A39)/100,0)/100*(1-'Δρομολόγια'!$S$13)-'Δρομολόγια'!$R$13,"")</f>
        <v/>
      </c>
      <c r="J39" s="20">
        <f>IF('Δρομολόγια'!$P$14,ROUND(ROUND('Δρομολόγια'!$F$14*100,0)*(100-$A39)/100,0)/100*(1-'Δρομολόγια'!$S$14)-'Δρομολόγια'!$R$14,"")</f>
        <v/>
      </c>
      <c r="K39" s="20">
        <f>IF('Δρομολόγια'!$P$15,ROUND(ROUND('Δρομολόγια'!$F$15*100,0)*(100-$A39)/100,0)/100*(1-'Δρομολόγια'!$S$15)-'Δρομολόγια'!$R$15,"")</f>
        <v/>
      </c>
      <c r="L39" s="20">
        <f>IF('Δρομολόγια'!$P$16,ROUND(ROUND('Δρομολόγια'!$F$16*100,0)*(100-$A39)/100,0)/100*(1-'Δρομολόγια'!$S$16)-'Δρομολόγια'!$R$16,"")</f>
        <v/>
      </c>
      <c r="M39" s="20">
        <f>IF('Δρομολόγια'!$P$17,ROUND(ROUND('Δρομολόγια'!$F$17*100,0)*(100-$A39)/100,0)/100*(1-'Δρομολόγια'!$S$17)-'Δρομολόγια'!$R$17,"")</f>
        <v/>
      </c>
      <c r="N39" s="20">
        <f>IF('Δρομολόγια'!$P$18,ROUND(ROUND('Δρομολόγια'!$F$18*100,0)*(100-$A39)/100,0)/100*(1-'Δρομολόγια'!$S$18)-'Δρομολόγια'!$R$18,"")</f>
        <v/>
      </c>
      <c r="O39" s="20">
        <f>IF('Δρομολόγια'!$P$19,ROUND(ROUND('Δρομολόγια'!$F$19*100,0)*(100-$A39)/100,0)/100*(1-'Δρομολόγια'!$S$19)-'Δρομολόγια'!$R$19,"")</f>
        <v/>
      </c>
      <c r="P39" s="20">
        <f>IF('Δρομολόγια'!$P$20,ROUND(ROUND('Δρομολόγια'!$F$20*100,0)*(100-$A39)/100,0)/100*(1-'Δρομολόγια'!$S$20)-'Δρομολόγια'!$R$20,"")</f>
        <v/>
      </c>
      <c r="Q39" t="inlineStr">
        <is>
          <t>τριάντα τρία</t>
        </is>
      </c>
    </row>
    <row r="40">
      <c r="A40" t="n">
        <v>34</v>
      </c>
      <c r="B40" s="20">
        <f>IF('Δρομολόγια'!$P$6,ROUND(ROUND('Δρομολόγια'!$F$6*100,0)*(100-$A40)/100,0)/100*(1-'Δρομολόγια'!$S$6)-'Δρομολόγια'!$R$6,"")</f>
        <v/>
      </c>
      <c r="C40" s="20">
        <f>IF('Δρομολόγια'!$P$7,ROUND(ROUND('Δρομολόγια'!$F$7*100,0)*(100-$A40)/100,0)/100*(1-'Δρομολόγια'!$S$7)-'Δρομολόγια'!$R$7,"")</f>
        <v/>
      </c>
      <c r="D40" s="20">
        <f>IF('Δρομολόγια'!$P$8,ROUND(ROUND('Δρομολόγια'!$F$8*100,0)*(100-$A40)/100,0)/100*(1-'Δρομολόγια'!$S$8)-'Δρομολόγια'!$R$8,"")</f>
        <v/>
      </c>
      <c r="E40" s="20">
        <f>IF('Δρομολόγια'!$P$9,ROUND(ROUND('Δρομολόγια'!$F$9*100,0)*(100-$A40)/100,0)/100*(1-'Δρομολόγια'!$S$9)-'Δρομολόγια'!$R$9,"")</f>
        <v/>
      </c>
      <c r="F40" s="20">
        <f>IF('Δρομολόγια'!$P$10,ROUND(ROUND('Δρομολόγια'!$F$10*100,0)*(100-$A40)/100,0)/100*(1-'Δρομολόγια'!$S$10)-'Δρομολόγια'!$R$10,"")</f>
        <v/>
      </c>
      <c r="G40" s="20">
        <f>IF('Δρομολόγια'!$P$11,ROUND(ROUND('Δρομολόγια'!$F$11*100,0)*(100-$A40)/100,0)/100*(1-'Δρομολόγια'!$S$11)-'Δρομολόγια'!$R$11,"")</f>
        <v/>
      </c>
      <c r="H40" s="20">
        <f>IF('Δρομολόγια'!$P$12,ROUND(ROUND('Δρομολόγια'!$F$12*100,0)*(100-$A40)/100,0)/100*(1-'Δρομολόγια'!$S$12)-'Δρομολόγια'!$R$12,"")</f>
        <v/>
      </c>
      <c r="I40" s="20">
        <f>IF('Δρομολόγια'!$P$13,ROUND(ROUND('Δρομολόγια'!$F$13*100,0)*(100-$A40)/100,0)/100*(1-'Δρομολόγια'!$S$13)-'Δρομολόγια'!$R$13,"")</f>
        <v/>
      </c>
      <c r="J40" s="20">
        <f>IF('Δρομολόγια'!$P$14,ROUND(ROUND('Δρομολόγια'!$F$14*100,0)*(100-$A40)/100,0)/100*(1-'Δρομολόγια'!$S$14)-'Δρομολόγια'!$R$14,"")</f>
        <v/>
      </c>
      <c r="K40" s="20">
        <f>IF('Δρομολόγια'!$P$15,ROUND(ROUND('Δρομολόγια'!$F$15*100,0)*(100-$A40)/100,0)/100*(1-'Δρομολόγια'!$S$15)-'Δρομολόγια'!$R$15,"")</f>
        <v/>
      </c>
      <c r="L40" s="20">
        <f>IF('Δρομολόγια'!$P$16,ROUND(ROUND('Δρομολόγια'!$F$16*100,0)*(100-$A40)/100,0)/100*(1-'Δρομολόγια'!$S$16)-'Δρομολόγια'!$R$16,"")</f>
        <v/>
      </c>
      <c r="M40" s="20">
        <f>IF('Δρομολόγια'!$P$17,ROUND(ROUND('Δρομολόγια'!$F$17*100,0)*(100-$A40)/100,0)/100*(1-'Δρομολόγια'!$S$17)-'Δρομολόγια'!$R$17,"")</f>
        <v/>
      </c>
      <c r="N40" s="20">
        <f>IF('Δρομολόγια'!$P$18,ROUND(ROUND('Δρομολόγια'!$F$18*100,0)*(100-$A40)/100,0)/100*(1-'Δρομολόγια'!$S$18)-'Δρομολόγια'!$R$18,"")</f>
        <v/>
      </c>
      <c r="O40" s="20">
        <f>IF('Δρομολόγια'!$P$19,ROUND(ROUND('Δρομολόγια'!$F$19*100,0)*(100-$A40)/100,0)/100*(1-'Δρομολόγια'!$S$19)-'Δρομολόγια'!$R$19,"")</f>
        <v/>
      </c>
      <c r="P40" s="20">
        <f>IF('Δρομολόγια'!$P$20,ROUND(ROUND('Δρομολόγια'!$F$20*100,0)*(100-$A40)/100,0)/100*(1-'Δρομολόγια'!$S$20)-'Δρομολόγια'!$R$20,"")</f>
        <v/>
      </c>
      <c r="Q40" t="inlineStr">
        <is>
          <t>τριάντα τέσσερα</t>
        </is>
      </c>
    </row>
    <row r="41">
      <c r="A41" t="n">
        <v>35</v>
      </c>
      <c r="B41" s="20">
        <f>IF('Δρομολόγια'!$P$6,ROUND(ROUND('Δρομολόγια'!$F$6*100,0)*(100-$A41)/100,0)/100*(1-'Δρομολόγια'!$S$6)-'Δρομολόγια'!$R$6,"")</f>
        <v/>
      </c>
      <c r="C41" s="20">
        <f>IF('Δρομολόγια'!$P$7,ROUND(ROUND('Δρομολόγια'!$F$7*100,0)*(100-$A41)/100,0)/100*(1-'Δρομολόγια'!$S$7)-'Δρομολόγια'!$R$7,"")</f>
        <v/>
      </c>
      <c r="D41" s="20">
        <f>IF('Δρομολόγια'!$P$8,ROUND(ROUND('Δρομολόγια'!$F$8*100,0)*(100-$A41)/100,0)/100*(1-'Δρομολόγια'!$S$8)-'Δρομολόγια'!$R$8,"")</f>
        <v/>
      </c>
      <c r="E41" s="20">
        <f>IF('Δρομολόγια'!$P$9,ROUND(ROUND('Δρομολόγια'!$F$9*100,0)*(100-$A41)/100,0)/100*(1-'Δρομολόγια'!$S$9)-'Δρομολόγια'!$R$9,"")</f>
        <v/>
      </c>
      <c r="F41" s="20">
        <f>IF('Δρομολόγια'!$P$10,ROUND(ROUND('Δρομολόγια'!$F$10*100,0)*(100-$A41)/100,0)/100*(1-'Δρομολόγια'!$S$10)-'Δρομολόγια'!$R$10,"")</f>
        <v/>
      </c>
      <c r="G41" s="20">
        <f>IF('Δρομολόγια'!$P$11,ROUND(ROUND('Δρομολόγια'!$F$11*100,0)*(100-$A41)/100,0)/100*(1-'Δρομολόγια'!$S$11)-'Δρομολόγια'!$R$11,"")</f>
        <v/>
      </c>
      <c r="H41" s="20">
        <f>IF('Δρομολόγια'!$P$12,ROUND(ROUND('Δρομολόγια'!$F$12*100,0)*(100-$A41)/100,0)/100*(1-'Δρομολόγια'!$S$12)-'Δρομολόγια'!$R$12,"")</f>
        <v/>
      </c>
      <c r="I41" s="20">
        <f>IF('Δρομολόγια'!$P$13,ROUND(ROUND('Δρομολόγια'!$F$13*100,0)*(100-$A41)/100,0)/100*(1-'Δρομολόγια'!$S$13)-'Δρομολόγια'!$R$13,"")</f>
        <v/>
      </c>
      <c r="J41" s="20">
        <f>IF('Δρομολόγια'!$P$14,ROUND(ROUND('Δρομολόγια'!$F$14*100,0)*(100-$A41)/100,0)/100*(1-'Δρομολόγια'!$S$14)-'Δρομολόγια'!$R$14,"")</f>
        <v/>
      </c>
      <c r="K41" s="20">
        <f>IF('Δρομολόγια'!$P$15,ROUND(ROUND('Δρομολόγια'!$F$15*100,0)*(100-$A41)/100,0)/100*(1-'Δρομολόγια'!$S$15)-'Δρομολόγια'!$R$15,"")</f>
        <v/>
      </c>
      <c r="L41" s="20">
        <f>IF('Δρομολόγια'!$P$16,ROUND(ROUND('Δρομολόγια'!$F$16*100,0)*(100-$A41)/100,0)/100*(1-'Δρομολόγια'!$S$16)-'Δρομολόγια'!$R$16,"")</f>
        <v/>
      </c>
      <c r="M41" s="20">
        <f>IF('Δρομολόγια'!$P$17,ROUND(ROUND('Δρομολόγια'!$F$17*100,0)*(100-$A41)/100,0)/100*(1-'Δρομολόγια'!$S$17)-'Δρομολόγια'!$R$17,"")</f>
        <v/>
      </c>
      <c r="N41" s="20">
        <f>IF('Δρομολόγια'!$P$18,ROUND(ROUND('Δρομολόγια'!$F$18*100,0)*(100-$A41)/100,0)/100*(1-'Δρομολόγια'!$S$18)-'Δρομολόγια'!$R$18,"")</f>
        <v/>
      </c>
      <c r="O41" s="20">
        <f>IF('Δρομολόγια'!$P$19,ROUND(ROUND('Δρομολόγια'!$F$19*100,0)*(100-$A41)/100,0)/100*(1-'Δρομολόγια'!$S$19)-'Δρομολόγια'!$R$19,"")</f>
        <v/>
      </c>
      <c r="P41" s="20">
        <f>IF('Δρομολόγια'!$P$20,ROUND(ROUND('Δρομολόγια'!$F$20*100,0)*(100-$A41)/100,0)/100*(1-'Δρομολόγια'!$S$20)-'Δρομολόγια'!$R$20,"")</f>
        <v/>
      </c>
      <c r="Q41" t="inlineStr">
        <is>
          <t>τριάντα πέντε</t>
        </is>
      </c>
    </row>
    <row r="42">
      <c r="A42" t="n">
        <v>36</v>
      </c>
      <c r="B42" s="20">
        <f>IF('Δρομολόγια'!$P$6,ROUND(ROUND('Δρομολόγια'!$F$6*100,0)*(100-$A42)/100,0)/100*(1-'Δρομολόγια'!$S$6)-'Δρομολόγια'!$R$6,"")</f>
        <v/>
      </c>
      <c r="C42" s="20">
        <f>IF('Δρομολόγια'!$P$7,ROUND(ROUND('Δρομολόγια'!$F$7*100,0)*(100-$A42)/100,0)/100*(1-'Δρομολόγια'!$S$7)-'Δρομολόγια'!$R$7,"")</f>
        <v/>
      </c>
      <c r="D42" s="20">
        <f>IF('Δρομολόγια'!$P$8,ROUND(ROUND('Δρομολόγια'!$F$8*100,0)*(100-$A42)/100,0)/100*(1-'Δρομολόγια'!$S$8)-'Δρομολόγια'!$R$8,"")</f>
        <v/>
      </c>
      <c r="E42" s="20">
        <f>IF('Δρομολόγια'!$P$9,ROUND(ROUND('Δρομολόγια'!$F$9*100,0)*(100-$A42)/100,0)/100*(1-'Δρομολόγια'!$S$9)-'Δρομολόγια'!$R$9,"")</f>
        <v/>
      </c>
      <c r="F42" s="20">
        <f>IF('Δρομολόγια'!$P$10,ROUND(ROUND('Δρομολόγια'!$F$10*100,0)*(100-$A42)/100,0)/100*(1-'Δρομολόγια'!$S$10)-'Δρομολόγια'!$R$10,"")</f>
        <v/>
      </c>
      <c r="G42" s="20">
        <f>IF('Δρομολόγια'!$P$11,ROUND(ROUND('Δρομολόγια'!$F$11*100,0)*(100-$A42)/100,0)/100*(1-'Δρομολόγια'!$S$11)-'Δρομολόγια'!$R$11,"")</f>
        <v/>
      </c>
      <c r="H42" s="20">
        <f>IF('Δρομολόγια'!$P$12,ROUND(ROUND('Δρομολόγια'!$F$12*100,0)*(100-$A42)/100,0)/100*(1-'Δρομολόγια'!$S$12)-'Δρομολόγια'!$R$12,"")</f>
        <v/>
      </c>
      <c r="I42" s="20">
        <f>IF('Δρομολόγια'!$P$13,ROUND(ROUND('Δρομολόγια'!$F$13*100,0)*(100-$A42)/100,0)/100*(1-'Δρομολόγια'!$S$13)-'Δρομολόγια'!$R$13,"")</f>
        <v/>
      </c>
      <c r="J42" s="20">
        <f>IF('Δρομολόγια'!$P$14,ROUND(ROUND('Δρομολόγια'!$F$14*100,0)*(100-$A42)/100,0)/100*(1-'Δρομολόγια'!$S$14)-'Δρομολόγια'!$R$14,"")</f>
        <v/>
      </c>
      <c r="K42" s="20">
        <f>IF('Δρομολόγια'!$P$15,ROUND(ROUND('Δρομολόγια'!$F$15*100,0)*(100-$A42)/100,0)/100*(1-'Δρομολόγια'!$S$15)-'Δρομολόγια'!$R$15,"")</f>
        <v/>
      </c>
      <c r="L42" s="20">
        <f>IF('Δρομολόγια'!$P$16,ROUND(ROUND('Δρομολόγια'!$F$16*100,0)*(100-$A42)/100,0)/100*(1-'Δρομολόγια'!$S$16)-'Δρομολόγια'!$R$16,"")</f>
        <v/>
      </c>
      <c r="M42" s="20">
        <f>IF('Δρομολόγια'!$P$17,ROUND(ROUND('Δρομολόγια'!$F$17*100,0)*(100-$A42)/100,0)/100*(1-'Δρομολόγια'!$S$17)-'Δρομολόγια'!$R$17,"")</f>
        <v/>
      </c>
      <c r="N42" s="20">
        <f>IF('Δρομολόγια'!$P$18,ROUND(ROUND('Δρομολόγια'!$F$18*100,0)*(100-$A42)/100,0)/100*(1-'Δρομολόγια'!$S$18)-'Δρομολόγια'!$R$18,"")</f>
        <v/>
      </c>
      <c r="O42" s="20">
        <f>IF('Δρομολόγια'!$P$19,ROUND(ROUND('Δρομολόγια'!$F$19*100,0)*(100-$A42)/100,0)/100*(1-'Δρομολόγια'!$S$19)-'Δρομολόγια'!$R$19,"")</f>
        <v/>
      </c>
      <c r="P42" s="20">
        <f>IF('Δρομολόγια'!$P$20,ROUND(ROUND('Δρομολόγια'!$F$20*100,0)*(100-$A42)/100,0)/100*(1-'Δρομολόγια'!$S$20)-'Δρομολόγια'!$R$20,"")</f>
        <v/>
      </c>
      <c r="Q42" t="inlineStr">
        <is>
          <t>τριάντα έξι</t>
        </is>
      </c>
    </row>
    <row r="43">
      <c r="A43" t="n">
        <v>37</v>
      </c>
      <c r="B43" s="20">
        <f>IF('Δρομολόγια'!$P$6,ROUND(ROUND('Δρομολόγια'!$F$6*100,0)*(100-$A43)/100,0)/100*(1-'Δρομολόγια'!$S$6)-'Δρομολόγια'!$R$6,"")</f>
        <v/>
      </c>
      <c r="C43" s="20">
        <f>IF('Δρομολόγια'!$P$7,ROUND(ROUND('Δρομολόγια'!$F$7*100,0)*(100-$A43)/100,0)/100*(1-'Δρομολόγια'!$S$7)-'Δρομολόγια'!$R$7,"")</f>
        <v/>
      </c>
      <c r="D43" s="20">
        <f>IF('Δρομολόγια'!$P$8,ROUND(ROUND('Δρομολόγια'!$F$8*100,0)*(100-$A43)/100,0)/100*(1-'Δρομολόγια'!$S$8)-'Δρομολόγια'!$R$8,"")</f>
        <v/>
      </c>
      <c r="E43" s="20">
        <f>IF('Δρομολόγια'!$P$9,ROUND(ROUND('Δρομολόγια'!$F$9*100,0)*(100-$A43)/100,0)/100*(1-'Δρομολόγια'!$S$9)-'Δρομολόγια'!$R$9,"")</f>
        <v/>
      </c>
      <c r="F43" s="20">
        <f>IF('Δρομολόγια'!$P$10,ROUND(ROUND('Δρομολόγια'!$F$10*100,0)*(100-$A43)/100,0)/100*(1-'Δρομολόγια'!$S$10)-'Δρομολόγια'!$R$10,"")</f>
        <v/>
      </c>
      <c r="G43" s="20">
        <f>IF('Δρομολόγια'!$P$11,ROUND(ROUND('Δρομολόγια'!$F$11*100,0)*(100-$A43)/100,0)/100*(1-'Δρομολόγια'!$S$11)-'Δρομολόγια'!$R$11,"")</f>
        <v/>
      </c>
      <c r="H43" s="20">
        <f>IF('Δρομολόγια'!$P$12,ROUND(ROUND('Δρομολόγια'!$F$12*100,0)*(100-$A43)/100,0)/100*(1-'Δρομολόγια'!$S$12)-'Δρομολόγια'!$R$12,"")</f>
        <v/>
      </c>
      <c r="I43" s="20">
        <f>IF('Δρομολόγια'!$P$13,ROUND(ROUND('Δρομολόγια'!$F$13*100,0)*(100-$A43)/100,0)/100*(1-'Δρομολόγια'!$S$13)-'Δρομολόγια'!$R$13,"")</f>
        <v/>
      </c>
      <c r="J43" s="20">
        <f>IF('Δρομολόγια'!$P$14,ROUND(ROUND('Δρομολόγια'!$F$14*100,0)*(100-$A43)/100,0)/100*(1-'Δρομολόγια'!$S$14)-'Δρομολόγια'!$R$14,"")</f>
        <v/>
      </c>
      <c r="K43" s="20">
        <f>IF('Δρομολόγια'!$P$15,ROUND(ROUND('Δρομολόγια'!$F$15*100,0)*(100-$A43)/100,0)/100*(1-'Δρομολόγια'!$S$15)-'Δρομολόγια'!$R$15,"")</f>
        <v/>
      </c>
      <c r="L43" s="20">
        <f>IF('Δρομολόγια'!$P$16,ROUND(ROUND('Δρομολόγια'!$F$16*100,0)*(100-$A43)/100,0)/100*(1-'Δρομολόγια'!$S$16)-'Δρομολόγια'!$R$16,"")</f>
        <v/>
      </c>
      <c r="M43" s="20">
        <f>IF('Δρομολόγια'!$P$17,ROUND(ROUND('Δρομολόγια'!$F$17*100,0)*(100-$A43)/100,0)/100*(1-'Δρομολόγια'!$S$17)-'Δρομολόγια'!$R$17,"")</f>
        <v/>
      </c>
      <c r="N43" s="20">
        <f>IF('Δρομολόγια'!$P$18,ROUND(ROUND('Δρομολόγια'!$F$18*100,0)*(100-$A43)/100,0)/100*(1-'Δρομολόγια'!$S$18)-'Δρομολόγια'!$R$18,"")</f>
        <v/>
      </c>
      <c r="O43" s="20">
        <f>IF('Δρομολόγια'!$P$19,ROUND(ROUND('Δρομολόγια'!$F$19*100,0)*(100-$A43)/100,0)/100*(1-'Δρομολόγια'!$S$19)-'Δρομολόγια'!$R$19,"")</f>
        <v/>
      </c>
      <c r="P43" s="20">
        <f>IF('Δρομολόγια'!$P$20,ROUND(ROUND('Δρομολόγια'!$F$20*100,0)*(100-$A43)/100,0)/100*(1-'Δρομολόγια'!$S$20)-'Δρομολόγια'!$R$20,"")</f>
        <v/>
      </c>
      <c r="Q43" t="inlineStr">
        <is>
          <t>τριάντα επτά</t>
        </is>
      </c>
    </row>
    <row r="44">
      <c r="A44" t="n">
        <v>38</v>
      </c>
      <c r="B44" s="20">
        <f>IF('Δρομολόγια'!$P$6,ROUND(ROUND('Δρομολόγια'!$F$6*100,0)*(100-$A44)/100,0)/100*(1-'Δρομολόγια'!$S$6)-'Δρομολόγια'!$R$6,"")</f>
        <v/>
      </c>
      <c r="C44" s="20">
        <f>IF('Δρομολόγια'!$P$7,ROUND(ROUND('Δρομολόγια'!$F$7*100,0)*(100-$A44)/100,0)/100*(1-'Δρομολόγια'!$S$7)-'Δρομολόγια'!$R$7,"")</f>
        <v/>
      </c>
      <c r="D44" s="20">
        <f>IF('Δρομολόγια'!$P$8,ROUND(ROUND('Δρομολόγια'!$F$8*100,0)*(100-$A44)/100,0)/100*(1-'Δρομολόγια'!$S$8)-'Δρομολόγια'!$R$8,"")</f>
        <v/>
      </c>
      <c r="E44" s="20">
        <f>IF('Δρομολόγια'!$P$9,ROUND(ROUND('Δρομολόγια'!$F$9*100,0)*(100-$A44)/100,0)/100*(1-'Δρομολόγια'!$S$9)-'Δρομολόγια'!$R$9,"")</f>
        <v/>
      </c>
      <c r="F44" s="20">
        <f>IF('Δρομολόγια'!$P$10,ROUND(ROUND('Δρομολόγια'!$F$10*100,0)*(100-$A44)/100,0)/100*(1-'Δρομολόγια'!$S$10)-'Δρομολόγια'!$R$10,"")</f>
        <v/>
      </c>
      <c r="G44" s="20">
        <f>IF('Δρομολόγια'!$P$11,ROUND(ROUND('Δρομολόγια'!$F$11*100,0)*(100-$A44)/100,0)/100*(1-'Δρομολόγια'!$S$11)-'Δρομολόγια'!$R$11,"")</f>
        <v/>
      </c>
      <c r="H44" s="20">
        <f>IF('Δρομολόγια'!$P$12,ROUND(ROUND('Δρομολόγια'!$F$12*100,0)*(100-$A44)/100,0)/100*(1-'Δρομολόγια'!$S$12)-'Δρομολόγια'!$R$12,"")</f>
        <v/>
      </c>
      <c r="I44" s="20">
        <f>IF('Δρομολόγια'!$P$13,ROUND(ROUND('Δρομολόγια'!$F$13*100,0)*(100-$A44)/100,0)/100*(1-'Δρομολόγια'!$S$13)-'Δρομολόγια'!$R$13,"")</f>
        <v/>
      </c>
      <c r="J44" s="20">
        <f>IF('Δρομολόγια'!$P$14,ROUND(ROUND('Δρομολόγια'!$F$14*100,0)*(100-$A44)/100,0)/100*(1-'Δρομολόγια'!$S$14)-'Δρομολόγια'!$R$14,"")</f>
        <v/>
      </c>
      <c r="K44" s="20">
        <f>IF('Δρομολόγια'!$P$15,ROUND(ROUND('Δρομολόγια'!$F$15*100,0)*(100-$A44)/100,0)/100*(1-'Δρομολόγια'!$S$15)-'Δρομολόγια'!$R$15,"")</f>
        <v/>
      </c>
      <c r="L44" s="20">
        <f>IF('Δρομολόγια'!$P$16,ROUND(ROUND('Δρομολόγια'!$F$16*100,0)*(100-$A44)/100,0)/100*(1-'Δρομολόγια'!$S$16)-'Δρομολόγια'!$R$16,"")</f>
        <v/>
      </c>
      <c r="M44" s="20">
        <f>IF('Δρομολόγια'!$P$17,ROUND(ROUND('Δρομολόγια'!$F$17*100,0)*(100-$A44)/100,0)/100*(1-'Δρομολόγια'!$S$17)-'Δρομολόγια'!$R$17,"")</f>
        <v/>
      </c>
      <c r="N44" s="20">
        <f>IF('Δρομολόγια'!$P$18,ROUND(ROUND('Δρομολόγια'!$F$18*100,0)*(100-$A44)/100,0)/100*(1-'Δρομολόγια'!$S$18)-'Δρομολόγια'!$R$18,"")</f>
        <v/>
      </c>
      <c r="O44" s="20">
        <f>IF('Δρομολόγια'!$P$19,ROUND(ROUND('Δρομολόγια'!$F$19*100,0)*(100-$A44)/100,0)/100*(1-'Δρομολόγια'!$S$19)-'Δρομολόγια'!$R$19,"")</f>
        <v/>
      </c>
      <c r="P44" s="20">
        <f>IF('Δρομολόγια'!$P$20,ROUND(ROUND('Δρομολόγια'!$F$20*100,0)*(100-$A44)/100,0)/100*(1-'Δρομολόγια'!$S$20)-'Δρομολόγια'!$R$20,"")</f>
        <v/>
      </c>
      <c r="Q44" t="inlineStr">
        <is>
          <t>τριάντα οκτώ</t>
        </is>
      </c>
    </row>
    <row r="45">
      <c r="A45" t="n">
        <v>39</v>
      </c>
      <c r="B45" s="20">
        <f>IF('Δρομολόγια'!$P$6,ROUND(ROUND('Δρομολόγια'!$F$6*100,0)*(100-$A45)/100,0)/100*(1-'Δρομολόγια'!$S$6)-'Δρομολόγια'!$R$6,"")</f>
        <v/>
      </c>
      <c r="C45" s="20">
        <f>IF('Δρομολόγια'!$P$7,ROUND(ROUND('Δρομολόγια'!$F$7*100,0)*(100-$A45)/100,0)/100*(1-'Δρομολόγια'!$S$7)-'Δρομολόγια'!$R$7,"")</f>
        <v/>
      </c>
      <c r="D45" s="20">
        <f>IF('Δρομολόγια'!$P$8,ROUND(ROUND('Δρομολόγια'!$F$8*100,0)*(100-$A45)/100,0)/100*(1-'Δρομολόγια'!$S$8)-'Δρομολόγια'!$R$8,"")</f>
        <v/>
      </c>
      <c r="E45" s="20">
        <f>IF('Δρομολόγια'!$P$9,ROUND(ROUND('Δρομολόγια'!$F$9*100,0)*(100-$A45)/100,0)/100*(1-'Δρομολόγια'!$S$9)-'Δρομολόγια'!$R$9,"")</f>
        <v/>
      </c>
      <c r="F45" s="20">
        <f>IF('Δρομολόγια'!$P$10,ROUND(ROUND('Δρομολόγια'!$F$10*100,0)*(100-$A45)/100,0)/100*(1-'Δρομολόγια'!$S$10)-'Δρομολόγια'!$R$10,"")</f>
        <v/>
      </c>
      <c r="G45" s="20">
        <f>IF('Δρομολόγια'!$P$11,ROUND(ROUND('Δρομολόγια'!$F$11*100,0)*(100-$A45)/100,0)/100*(1-'Δρομολόγια'!$S$11)-'Δρομολόγια'!$R$11,"")</f>
        <v/>
      </c>
      <c r="H45" s="20">
        <f>IF('Δρομολόγια'!$P$12,ROUND(ROUND('Δρομολόγια'!$F$12*100,0)*(100-$A45)/100,0)/100*(1-'Δρομολόγια'!$S$12)-'Δρομολόγια'!$R$12,"")</f>
        <v/>
      </c>
      <c r="I45" s="20">
        <f>IF('Δρομολόγια'!$P$13,ROUND(ROUND('Δρομολόγια'!$F$13*100,0)*(100-$A45)/100,0)/100*(1-'Δρομολόγια'!$S$13)-'Δρομολόγια'!$R$13,"")</f>
        <v/>
      </c>
      <c r="J45" s="20">
        <f>IF('Δρομολόγια'!$P$14,ROUND(ROUND('Δρομολόγια'!$F$14*100,0)*(100-$A45)/100,0)/100*(1-'Δρομολόγια'!$S$14)-'Δρομολόγια'!$R$14,"")</f>
        <v/>
      </c>
      <c r="K45" s="20">
        <f>IF('Δρομολόγια'!$P$15,ROUND(ROUND('Δρομολόγια'!$F$15*100,0)*(100-$A45)/100,0)/100*(1-'Δρομολόγια'!$S$15)-'Δρομολόγια'!$R$15,"")</f>
        <v/>
      </c>
      <c r="L45" s="20">
        <f>IF('Δρομολόγια'!$P$16,ROUND(ROUND('Δρομολόγια'!$F$16*100,0)*(100-$A45)/100,0)/100*(1-'Δρομολόγια'!$S$16)-'Δρομολόγια'!$R$16,"")</f>
        <v/>
      </c>
      <c r="M45" s="20">
        <f>IF('Δρομολόγια'!$P$17,ROUND(ROUND('Δρομολόγια'!$F$17*100,0)*(100-$A45)/100,0)/100*(1-'Δρομολόγια'!$S$17)-'Δρομολόγια'!$R$17,"")</f>
        <v/>
      </c>
      <c r="N45" s="20">
        <f>IF('Δρομολόγια'!$P$18,ROUND(ROUND('Δρομολόγια'!$F$18*100,0)*(100-$A45)/100,0)/100*(1-'Δρομολόγια'!$S$18)-'Δρομολόγια'!$R$18,"")</f>
        <v/>
      </c>
      <c r="O45" s="20">
        <f>IF('Δρομολόγια'!$P$19,ROUND(ROUND('Δρομολόγια'!$F$19*100,0)*(100-$A45)/100,0)/100*(1-'Δρομολόγια'!$S$19)-'Δρομολόγια'!$R$19,"")</f>
        <v/>
      </c>
      <c r="P45" s="20">
        <f>IF('Δρομολόγια'!$P$20,ROUND(ROUND('Δρομολόγια'!$F$20*100,0)*(100-$A45)/100,0)/100*(1-'Δρομολόγια'!$S$20)-'Δρομολόγια'!$R$20,"")</f>
        <v/>
      </c>
      <c r="Q45" t="inlineStr">
        <is>
          <t>τριάντα εννέα</t>
        </is>
      </c>
    </row>
    <row r="46">
      <c r="A46" t="n">
        <v>40</v>
      </c>
      <c r="B46" s="20">
        <f>IF('Δρομολόγια'!$P$6,ROUND(ROUND('Δρομολόγια'!$F$6*100,0)*(100-$A46)/100,0)/100*(1-'Δρομολόγια'!$S$6)-'Δρομολόγια'!$R$6,"")</f>
        <v/>
      </c>
      <c r="C46" s="20">
        <f>IF('Δρομολόγια'!$P$7,ROUND(ROUND('Δρομολόγια'!$F$7*100,0)*(100-$A46)/100,0)/100*(1-'Δρομολόγια'!$S$7)-'Δρομολόγια'!$R$7,"")</f>
        <v/>
      </c>
      <c r="D46" s="20">
        <f>IF('Δρομολόγια'!$P$8,ROUND(ROUND('Δρομολόγια'!$F$8*100,0)*(100-$A46)/100,0)/100*(1-'Δρομολόγια'!$S$8)-'Δρομολόγια'!$R$8,"")</f>
        <v/>
      </c>
      <c r="E46" s="20">
        <f>IF('Δρομολόγια'!$P$9,ROUND(ROUND('Δρομολόγια'!$F$9*100,0)*(100-$A46)/100,0)/100*(1-'Δρομολόγια'!$S$9)-'Δρομολόγια'!$R$9,"")</f>
        <v/>
      </c>
      <c r="F46" s="20">
        <f>IF('Δρομολόγια'!$P$10,ROUND(ROUND('Δρομολόγια'!$F$10*100,0)*(100-$A46)/100,0)/100*(1-'Δρομολόγια'!$S$10)-'Δρομολόγια'!$R$10,"")</f>
        <v/>
      </c>
      <c r="G46" s="20">
        <f>IF('Δρομολόγια'!$P$11,ROUND(ROUND('Δρομολόγια'!$F$11*100,0)*(100-$A46)/100,0)/100*(1-'Δρομολόγια'!$S$11)-'Δρομολόγια'!$R$11,"")</f>
        <v/>
      </c>
      <c r="H46" s="20">
        <f>IF('Δρομολόγια'!$P$12,ROUND(ROUND('Δρομολόγια'!$F$12*100,0)*(100-$A46)/100,0)/100*(1-'Δρομολόγια'!$S$12)-'Δρομολόγια'!$R$12,"")</f>
        <v/>
      </c>
      <c r="I46" s="20">
        <f>IF('Δρομολόγια'!$P$13,ROUND(ROUND('Δρομολόγια'!$F$13*100,0)*(100-$A46)/100,0)/100*(1-'Δρομολόγια'!$S$13)-'Δρομολόγια'!$R$13,"")</f>
        <v/>
      </c>
      <c r="J46" s="20">
        <f>IF('Δρομολόγια'!$P$14,ROUND(ROUND('Δρομολόγια'!$F$14*100,0)*(100-$A46)/100,0)/100*(1-'Δρομολόγια'!$S$14)-'Δρομολόγια'!$R$14,"")</f>
        <v/>
      </c>
      <c r="K46" s="20">
        <f>IF('Δρομολόγια'!$P$15,ROUND(ROUND('Δρομολόγια'!$F$15*100,0)*(100-$A46)/100,0)/100*(1-'Δρομολόγια'!$S$15)-'Δρομολόγια'!$R$15,"")</f>
        <v/>
      </c>
      <c r="L46" s="20">
        <f>IF('Δρομολόγια'!$P$16,ROUND(ROUND('Δρομολόγια'!$F$16*100,0)*(100-$A46)/100,0)/100*(1-'Δρομολόγια'!$S$16)-'Δρομολόγια'!$R$16,"")</f>
        <v/>
      </c>
      <c r="M46" s="20">
        <f>IF('Δρομολόγια'!$P$17,ROUND(ROUND('Δρομολόγια'!$F$17*100,0)*(100-$A46)/100,0)/100*(1-'Δρομολόγια'!$S$17)-'Δρομολόγια'!$R$17,"")</f>
        <v/>
      </c>
      <c r="N46" s="20">
        <f>IF('Δρομολόγια'!$P$18,ROUND(ROUND('Δρομολόγια'!$F$18*100,0)*(100-$A46)/100,0)/100*(1-'Δρομολόγια'!$S$18)-'Δρομολόγια'!$R$18,"")</f>
        <v/>
      </c>
      <c r="O46" s="20">
        <f>IF('Δρομολόγια'!$P$19,ROUND(ROUND('Δρομολόγια'!$F$19*100,0)*(100-$A46)/100,0)/100*(1-'Δρομολόγια'!$S$19)-'Δρομολόγια'!$R$19,"")</f>
        <v/>
      </c>
      <c r="P46" s="20">
        <f>IF('Δρομολόγια'!$P$20,ROUND(ROUND('Δρομολόγια'!$F$20*100,0)*(100-$A46)/100,0)/100*(1-'Δρομολόγια'!$S$20)-'Δρομολόγια'!$R$20,"")</f>
        <v/>
      </c>
      <c r="Q46" t="inlineStr">
        <is>
          <t>σαράντα</t>
        </is>
      </c>
    </row>
    <row r="47">
      <c r="A47" t="n">
        <v>41</v>
      </c>
      <c r="B47" s="20">
        <f>IF('Δρομολόγια'!$P$6,ROUND(ROUND('Δρομολόγια'!$F$6*100,0)*(100-$A47)/100,0)/100*(1-'Δρομολόγια'!$S$6)-'Δρομολόγια'!$R$6,"")</f>
        <v/>
      </c>
      <c r="C47" s="20">
        <f>IF('Δρομολόγια'!$P$7,ROUND(ROUND('Δρομολόγια'!$F$7*100,0)*(100-$A47)/100,0)/100*(1-'Δρομολόγια'!$S$7)-'Δρομολόγια'!$R$7,"")</f>
        <v/>
      </c>
      <c r="D47" s="20">
        <f>IF('Δρομολόγια'!$P$8,ROUND(ROUND('Δρομολόγια'!$F$8*100,0)*(100-$A47)/100,0)/100*(1-'Δρομολόγια'!$S$8)-'Δρομολόγια'!$R$8,"")</f>
        <v/>
      </c>
      <c r="E47" s="20">
        <f>IF('Δρομολόγια'!$P$9,ROUND(ROUND('Δρομολόγια'!$F$9*100,0)*(100-$A47)/100,0)/100*(1-'Δρομολόγια'!$S$9)-'Δρομολόγια'!$R$9,"")</f>
        <v/>
      </c>
      <c r="F47" s="20">
        <f>IF('Δρομολόγια'!$P$10,ROUND(ROUND('Δρομολόγια'!$F$10*100,0)*(100-$A47)/100,0)/100*(1-'Δρομολόγια'!$S$10)-'Δρομολόγια'!$R$10,"")</f>
        <v/>
      </c>
      <c r="G47" s="20">
        <f>IF('Δρομολόγια'!$P$11,ROUND(ROUND('Δρομολόγια'!$F$11*100,0)*(100-$A47)/100,0)/100*(1-'Δρομολόγια'!$S$11)-'Δρομολόγια'!$R$11,"")</f>
        <v/>
      </c>
      <c r="H47" s="20">
        <f>IF('Δρομολόγια'!$P$12,ROUND(ROUND('Δρομολόγια'!$F$12*100,0)*(100-$A47)/100,0)/100*(1-'Δρομολόγια'!$S$12)-'Δρομολόγια'!$R$12,"")</f>
        <v/>
      </c>
      <c r="I47" s="20">
        <f>IF('Δρομολόγια'!$P$13,ROUND(ROUND('Δρομολόγια'!$F$13*100,0)*(100-$A47)/100,0)/100*(1-'Δρομολόγια'!$S$13)-'Δρομολόγια'!$R$13,"")</f>
        <v/>
      </c>
      <c r="J47" s="20">
        <f>IF('Δρομολόγια'!$P$14,ROUND(ROUND('Δρομολόγια'!$F$14*100,0)*(100-$A47)/100,0)/100*(1-'Δρομολόγια'!$S$14)-'Δρομολόγια'!$R$14,"")</f>
        <v/>
      </c>
      <c r="K47" s="20">
        <f>IF('Δρομολόγια'!$P$15,ROUND(ROUND('Δρομολόγια'!$F$15*100,0)*(100-$A47)/100,0)/100*(1-'Δρομολόγια'!$S$15)-'Δρομολόγια'!$R$15,"")</f>
        <v/>
      </c>
      <c r="L47" s="20">
        <f>IF('Δρομολόγια'!$P$16,ROUND(ROUND('Δρομολόγια'!$F$16*100,0)*(100-$A47)/100,0)/100*(1-'Δρομολόγια'!$S$16)-'Δρομολόγια'!$R$16,"")</f>
        <v/>
      </c>
      <c r="M47" s="20">
        <f>IF('Δρομολόγια'!$P$17,ROUND(ROUND('Δρομολόγια'!$F$17*100,0)*(100-$A47)/100,0)/100*(1-'Δρομολόγια'!$S$17)-'Δρομολόγια'!$R$17,"")</f>
        <v/>
      </c>
      <c r="N47" s="20">
        <f>IF('Δρομολόγια'!$P$18,ROUND(ROUND('Δρομολόγια'!$F$18*100,0)*(100-$A47)/100,0)/100*(1-'Δρομολόγια'!$S$18)-'Δρομολόγια'!$R$18,"")</f>
        <v/>
      </c>
      <c r="O47" s="20">
        <f>IF('Δρομολόγια'!$P$19,ROUND(ROUND('Δρομολόγια'!$F$19*100,0)*(100-$A47)/100,0)/100*(1-'Δρομολόγια'!$S$19)-'Δρομολόγια'!$R$19,"")</f>
        <v/>
      </c>
      <c r="P47" s="20">
        <f>IF('Δρομολόγια'!$P$20,ROUND(ROUND('Δρομολόγια'!$F$20*100,0)*(100-$A47)/100,0)/100*(1-'Δρομολόγια'!$S$20)-'Δρομολόγια'!$R$20,"")</f>
        <v/>
      </c>
      <c r="Q47" t="inlineStr">
        <is>
          <t>σαράντα ένα</t>
        </is>
      </c>
    </row>
    <row r="48">
      <c r="A48" t="n">
        <v>42</v>
      </c>
      <c r="B48" s="20">
        <f>IF('Δρομολόγια'!$P$6,ROUND(ROUND('Δρομολόγια'!$F$6*100,0)*(100-$A48)/100,0)/100*(1-'Δρομολόγια'!$S$6)-'Δρομολόγια'!$R$6,"")</f>
        <v/>
      </c>
      <c r="C48" s="20">
        <f>IF('Δρομολόγια'!$P$7,ROUND(ROUND('Δρομολόγια'!$F$7*100,0)*(100-$A48)/100,0)/100*(1-'Δρομολόγια'!$S$7)-'Δρομολόγια'!$R$7,"")</f>
        <v/>
      </c>
      <c r="D48" s="20">
        <f>IF('Δρομολόγια'!$P$8,ROUND(ROUND('Δρομολόγια'!$F$8*100,0)*(100-$A48)/100,0)/100*(1-'Δρομολόγια'!$S$8)-'Δρομολόγια'!$R$8,"")</f>
        <v/>
      </c>
      <c r="E48" s="20">
        <f>IF('Δρομολόγια'!$P$9,ROUND(ROUND('Δρομολόγια'!$F$9*100,0)*(100-$A48)/100,0)/100*(1-'Δρομολόγια'!$S$9)-'Δρομολόγια'!$R$9,"")</f>
        <v/>
      </c>
      <c r="F48" s="20">
        <f>IF('Δρομολόγια'!$P$10,ROUND(ROUND('Δρομολόγια'!$F$10*100,0)*(100-$A48)/100,0)/100*(1-'Δρομολόγια'!$S$10)-'Δρομολόγια'!$R$10,"")</f>
        <v/>
      </c>
      <c r="G48" s="20">
        <f>IF('Δρομολόγια'!$P$11,ROUND(ROUND('Δρομολόγια'!$F$11*100,0)*(100-$A48)/100,0)/100*(1-'Δρομολόγια'!$S$11)-'Δρομολόγια'!$R$11,"")</f>
        <v/>
      </c>
      <c r="H48" s="20">
        <f>IF('Δρομολόγια'!$P$12,ROUND(ROUND('Δρομολόγια'!$F$12*100,0)*(100-$A48)/100,0)/100*(1-'Δρομολόγια'!$S$12)-'Δρομολόγια'!$R$12,"")</f>
        <v/>
      </c>
      <c r="I48" s="20">
        <f>IF('Δρομολόγια'!$P$13,ROUND(ROUND('Δρομολόγια'!$F$13*100,0)*(100-$A48)/100,0)/100*(1-'Δρομολόγια'!$S$13)-'Δρομολόγια'!$R$13,"")</f>
        <v/>
      </c>
      <c r="J48" s="20">
        <f>IF('Δρομολόγια'!$P$14,ROUND(ROUND('Δρομολόγια'!$F$14*100,0)*(100-$A48)/100,0)/100*(1-'Δρομολόγια'!$S$14)-'Δρομολόγια'!$R$14,"")</f>
        <v/>
      </c>
      <c r="K48" s="20">
        <f>IF('Δρομολόγια'!$P$15,ROUND(ROUND('Δρομολόγια'!$F$15*100,0)*(100-$A48)/100,0)/100*(1-'Δρομολόγια'!$S$15)-'Δρομολόγια'!$R$15,"")</f>
        <v/>
      </c>
      <c r="L48" s="20">
        <f>IF('Δρομολόγια'!$P$16,ROUND(ROUND('Δρομολόγια'!$F$16*100,0)*(100-$A48)/100,0)/100*(1-'Δρομολόγια'!$S$16)-'Δρομολόγια'!$R$16,"")</f>
        <v/>
      </c>
      <c r="M48" s="20">
        <f>IF('Δρομολόγια'!$P$17,ROUND(ROUND('Δρομολόγια'!$F$17*100,0)*(100-$A48)/100,0)/100*(1-'Δρομολόγια'!$S$17)-'Δρομολόγια'!$R$17,"")</f>
        <v/>
      </c>
      <c r="N48" s="20">
        <f>IF('Δρομολόγια'!$P$18,ROUND(ROUND('Δρομολόγια'!$F$18*100,0)*(100-$A48)/100,0)/100*(1-'Δρομολόγια'!$S$18)-'Δρομολόγια'!$R$18,"")</f>
        <v/>
      </c>
      <c r="O48" s="20">
        <f>IF('Δρομολόγια'!$P$19,ROUND(ROUND('Δρομολόγια'!$F$19*100,0)*(100-$A48)/100,0)/100*(1-'Δρομολόγια'!$S$19)-'Δρομολόγια'!$R$19,"")</f>
        <v/>
      </c>
      <c r="P48" s="20">
        <f>IF('Δρομολόγια'!$P$20,ROUND(ROUND('Δρομολόγια'!$F$20*100,0)*(100-$A48)/100,0)/100*(1-'Δρομολόγια'!$S$20)-'Δρομολόγια'!$R$20,"")</f>
        <v/>
      </c>
      <c r="Q48" t="inlineStr">
        <is>
          <t>σαράντα δύο</t>
        </is>
      </c>
    </row>
    <row r="49">
      <c r="A49" t="n">
        <v>43</v>
      </c>
      <c r="B49" s="20">
        <f>IF('Δρομολόγια'!$P$6,ROUND(ROUND('Δρομολόγια'!$F$6*100,0)*(100-$A49)/100,0)/100*(1-'Δρομολόγια'!$S$6)-'Δρομολόγια'!$R$6,"")</f>
        <v/>
      </c>
      <c r="C49" s="20">
        <f>IF('Δρομολόγια'!$P$7,ROUND(ROUND('Δρομολόγια'!$F$7*100,0)*(100-$A49)/100,0)/100*(1-'Δρομολόγια'!$S$7)-'Δρομολόγια'!$R$7,"")</f>
        <v/>
      </c>
      <c r="D49" s="20">
        <f>IF('Δρομολόγια'!$P$8,ROUND(ROUND('Δρομολόγια'!$F$8*100,0)*(100-$A49)/100,0)/100*(1-'Δρομολόγια'!$S$8)-'Δρομολόγια'!$R$8,"")</f>
        <v/>
      </c>
      <c r="E49" s="20">
        <f>IF('Δρομολόγια'!$P$9,ROUND(ROUND('Δρομολόγια'!$F$9*100,0)*(100-$A49)/100,0)/100*(1-'Δρομολόγια'!$S$9)-'Δρομολόγια'!$R$9,"")</f>
        <v/>
      </c>
      <c r="F49" s="20">
        <f>IF('Δρομολόγια'!$P$10,ROUND(ROUND('Δρομολόγια'!$F$10*100,0)*(100-$A49)/100,0)/100*(1-'Δρομολόγια'!$S$10)-'Δρομολόγια'!$R$10,"")</f>
        <v/>
      </c>
      <c r="G49" s="20">
        <f>IF('Δρομολόγια'!$P$11,ROUND(ROUND('Δρομολόγια'!$F$11*100,0)*(100-$A49)/100,0)/100*(1-'Δρομολόγια'!$S$11)-'Δρομολόγια'!$R$11,"")</f>
        <v/>
      </c>
      <c r="H49" s="20">
        <f>IF('Δρομολόγια'!$P$12,ROUND(ROUND('Δρομολόγια'!$F$12*100,0)*(100-$A49)/100,0)/100*(1-'Δρομολόγια'!$S$12)-'Δρομολόγια'!$R$12,"")</f>
        <v/>
      </c>
      <c r="I49" s="20">
        <f>IF('Δρομολόγια'!$P$13,ROUND(ROUND('Δρομολόγια'!$F$13*100,0)*(100-$A49)/100,0)/100*(1-'Δρομολόγια'!$S$13)-'Δρομολόγια'!$R$13,"")</f>
        <v/>
      </c>
      <c r="J49" s="20">
        <f>IF('Δρομολόγια'!$P$14,ROUND(ROUND('Δρομολόγια'!$F$14*100,0)*(100-$A49)/100,0)/100*(1-'Δρομολόγια'!$S$14)-'Δρομολόγια'!$R$14,"")</f>
        <v/>
      </c>
      <c r="K49" s="20">
        <f>IF('Δρομολόγια'!$P$15,ROUND(ROUND('Δρομολόγια'!$F$15*100,0)*(100-$A49)/100,0)/100*(1-'Δρομολόγια'!$S$15)-'Δρομολόγια'!$R$15,"")</f>
        <v/>
      </c>
      <c r="L49" s="20">
        <f>IF('Δρομολόγια'!$P$16,ROUND(ROUND('Δρομολόγια'!$F$16*100,0)*(100-$A49)/100,0)/100*(1-'Δρομολόγια'!$S$16)-'Δρομολόγια'!$R$16,"")</f>
        <v/>
      </c>
      <c r="M49" s="20">
        <f>IF('Δρομολόγια'!$P$17,ROUND(ROUND('Δρομολόγια'!$F$17*100,0)*(100-$A49)/100,0)/100*(1-'Δρομολόγια'!$S$17)-'Δρομολόγια'!$R$17,"")</f>
        <v/>
      </c>
      <c r="N49" s="20">
        <f>IF('Δρομολόγια'!$P$18,ROUND(ROUND('Δρομολόγια'!$F$18*100,0)*(100-$A49)/100,0)/100*(1-'Δρομολόγια'!$S$18)-'Δρομολόγια'!$R$18,"")</f>
        <v/>
      </c>
      <c r="O49" s="20">
        <f>IF('Δρομολόγια'!$P$19,ROUND(ROUND('Δρομολόγια'!$F$19*100,0)*(100-$A49)/100,0)/100*(1-'Δρομολόγια'!$S$19)-'Δρομολόγια'!$R$19,"")</f>
        <v/>
      </c>
      <c r="P49" s="20">
        <f>IF('Δρομολόγια'!$P$20,ROUND(ROUND('Δρομολόγια'!$F$20*100,0)*(100-$A49)/100,0)/100*(1-'Δρομολόγια'!$S$20)-'Δρομολόγια'!$R$20,"")</f>
        <v/>
      </c>
      <c r="Q49" t="inlineStr">
        <is>
          <t>σαράντα τρία</t>
        </is>
      </c>
    </row>
    <row r="50">
      <c r="A50" t="n">
        <v>44</v>
      </c>
      <c r="B50" s="20">
        <f>IF('Δρομολόγια'!$P$6,ROUND(ROUND('Δρομολόγια'!$F$6*100,0)*(100-$A50)/100,0)/100*(1-'Δρομολόγια'!$S$6)-'Δρομολόγια'!$R$6,"")</f>
        <v/>
      </c>
      <c r="C50" s="20">
        <f>IF('Δρομολόγια'!$P$7,ROUND(ROUND('Δρομολόγια'!$F$7*100,0)*(100-$A50)/100,0)/100*(1-'Δρομολόγια'!$S$7)-'Δρομολόγια'!$R$7,"")</f>
        <v/>
      </c>
      <c r="D50" s="20">
        <f>IF('Δρομολόγια'!$P$8,ROUND(ROUND('Δρομολόγια'!$F$8*100,0)*(100-$A50)/100,0)/100*(1-'Δρομολόγια'!$S$8)-'Δρομολόγια'!$R$8,"")</f>
        <v/>
      </c>
      <c r="E50" s="20">
        <f>IF('Δρομολόγια'!$P$9,ROUND(ROUND('Δρομολόγια'!$F$9*100,0)*(100-$A50)/100,0)/100*(1-'Δρομολόγια'!$S$9)-'Δρομολόγια'!$R$9,"")</f>
        <v/>
      </c>
      <c r="F50" s="20">
        <f>IF('Δρομολόγια'!$P$10,ROUND(ROUND('Δρομολόγια'!$F$10*100,0)*(100-$A50)/100,0)/100*(1-'Δρομολόγια'!$S$10)-'Δρομολόγια'!$R$10,"")</f>
        <v/>
      </c>
      <c r="G50" s="20">
        <f>IF('Δρομολόγια'!$P$11,ROUND(ROUND('Δρομολόγια'!$F$11*100,0)*(100-$A50)/100,0)/100*(1-'Δρομολόγια'!$S$11)-'Δρομολόγια'!$R$11,"")</f>
        <v/>
      </c>
      <c r="H50" s="20">
        <f>IF('Δρομολόγια'!$P$12,ROUND(ROUND('Δρομολόγια'!$F$12*100,0)*(100-$A50)/100,0)/100*(1-'Δρομολόγια'!$S$12)-'Δρομολόγια'!$R$12,"")</f>
        <v/>
      </c>
      <c r="I50" s="20">
        <f>IF('Δρομολόγια'!$P$13,ROUND(ROUND('Δρομολόγια'!$F$13*100,0)*(100-$A50)/100,0)/100*(1-'Δρομολόγια'!$S$13)-'Δρομολόγια'!$R$13,"")</f>
        <v/>
      </c>
      <c r="J50" s="20">
        <f>IF('Δρομολόγια'!$P$14,ROUND(ROUND('Δρομολόγια'!$F$14*100,0)*(100-$A50)/100,0)/100*(1-'Δρομολόγια'!$S$14)-'Δρομολόγια'!$R$14,"")</f>
        <v/>
      </c>
      <c r="K50" s="20">
        <f>IF('Δρομολόγια'!$P$15,ROUND(ROUND('Δρομολόγια'!$F$15*100,0)*(100-$A50)/100,0)/100*(1-'Δρομολόγια'!$S$15)-'Δρομολόγια'!$R$15,"")</f>
        <v/>
      </c>
      <c r="L50" s="20">
        <f>IF('Δρομολόγια'!$P$16,ROUND(ROUND('Δρομολόγια'!$F$16*100,0)*(100-$A50)/100,0)/100*(1-'Δρομολόγια'!$S$16)-'Δρομολόγια'!$R$16,"")</f>
        <v/>
      </c>
      <c r="M50" s="20">
        <f>IF('Δρομολόγια'!$P$17,ROUND(ROUND('Δρομολόγια'!$F$17*100,0)*(100-$A50)/100,0)/100*(1-'Δρομολόγια'!$S$17)-'Δρομολόγια'!$R$17,"")</f>
        <v/>
      </c>
      <c r="N50" s="20">
        <f>IF('Δρομολόγια'!$P$18,ROUND(ROUND('Δρομολόγια'!$F$18*100,0)*(100-$A50)/100,0)/100*(1-'Δρομολόγια'!$S$18)-'Δρομολόγια'!$R$18,"")</f>
        <v/>
      </c>
      <c r="O50" s="20">
        <f>IF('Δρομολόγια'!$P$19,ROUND(ROUND('Δρομολόγια'!$F$19*100,0)*(100-$A50)/100,0)/100*(1-'Δρομολόγια'!$S$19)-'Δρομολόγια'!$R$19,"")</f>
        <v/>
      </c>
      <c r="P50" s="20">
        <f>IF('Δρομολόγια'!$P$20,ROUND(ROUND('Δρομολόγια'!$F$20*100,0)*(100-$A50)/100,0)/100*(1-'Δρομολόγια'!$S$20)-'Δρομολόγια'!$R$20,"")</f>
        <v/>
      </c>
      <c r="Q50" t="inlineStr">
        <is>
          <t>σαράντα τέσσερα</t>
        </is>
      </c>
    </row>
    <row r="51">
      <c r="A51" t="n">
        <v>45</v>
      </c>
      <c r="B51" s="20">
        <f>IF('Δρομολόγια'!$P$6,ROUND(ROUND('Δρομολόγια'!$F$6*100,0)*(100-$A51)/100,0)/100*(1-'Δρομολόγια'!$S$6)-'Δρομολόγια'!$R$6,"")</f>
        <v/>
      </c>
      <c r="C51" s="20">
        <f>IF('Δρομολόγια'!$P$7,ROUND(ROUND('Δρομολόγια'!$F$7*100,0)*(100-$A51)/100,0)/100*(1-'Δρομολόγια'!$S$7)-'Δρομολόγια'!$R$7,"")</f>
        <v/>
      </c>
      <c r="D51" s="20">
        <f>IF('Δρομολόγια'!$P$8,ROUND(ROUND('Δρομολόγια'!$F$8*100,0)*(100-$A51)/100,0)/100*(1-'Δρομολόγια'!$S$8)-'Δρομολόγια'!$R$8,"")</f>
        <v/>
      </c>
      <c r="E51" s="20">
        <f>IF('Δρομολόγια'!$P$9,ROUND(ROUND('Δρομολόγια'!$F$9*100,0)*(100-$A51)/100,0)/100*(1-'Δρομολόγια'!$S$9)-'Δρομολόγια'!$R$9,"")</f>
        <v/>
      </c>
      <c r="F51" s="20">
        <f>IF('Δρομολόγια'!$P$10,ROUND(ROUND('Δρομολόγια'!$F$10*100,0)*(100-$A51)/100,0)/100*(1-'Δρομολόγια'!$S$10)-'Δρομολόγια'!$R$10,"")</f>
        <v/>
      </c>
      <c r="G51" s="20">
        <f>IF('Δρομολόγια'!$P$11,ROUND(ROUND('Δρομολόγια'!$F$11*100,0)*(100-$A51)/100,0)/100*(1-'Δρομολόγια'!$S$11)-'Δρομολόγια'!$R$11,"")</f>
        <v/>
      </c>
      <c r="H51" s="20">
        <f>IF('Δρομολόγια'!$P$12,ROUND(ROUND('Δρομολόγια'!$F$12*100,0)*(100-$A51)/100,0)/100*(1-'Δρομολόγια'!$S$12)-'Δρομολόγια'!$R$12,"")</f>
        <v/>
      </c>
      <c r="I51" s="20">
        <f>IF('Δρομολόγια'!$P$13,ROUND(ROUND('Δρομολόγια'!$F$13*100,0)*(100-$A51)/100,0)/100*(1-'Δρομολόγια'!$S$13)-'Δρομολόγια'!$R$13,"")</f>
        <v/>
      </c>
      <c r="J51" s="20">
        <f>IF('Δρομολόγια'!$P$14,ROUND(ROUND('Δρομολόγια'!$F$14*100,0)*(100-$A51)/100,0)/100*(1-'Δρομολόγια'!$S$14)-'Δρομολόγια'!$R$14,"")</f>
        <v/>
      </c>
      <c r="K51" s="20">
        <f>IF('Δρομολόγια'!$P$15,ROUND(ROUND('Δρομολόγια'!$F$15*100,0)*(100-$A51)/100,0)/100*(1-'Δρομολόγια'!$S$15)-'Δρομολόγια'!$R$15,"")</f>
        <v/>
      </c>
      <c r="L51" s="20">
        <f>IF('Δρομολόγια'!$P$16,ROUND(ROUND('Δρομολόγια'!$F$16*100,0)*(100-$A51)/100,0)/100*(1-'Δρομολόγια'!$S$16)-'Δρομολόγια'!$R$16,"")</f>
        <v/>
      </c>
      <c r="M51" s="20">
        <f>IF('Δρομολόγια'!$P$17,ROUND(ROUND('Δρομολόγια'!$F$17*100,0)*(100-$A51)/100,0)/100*(1-'Δρομολόγια'!$S$17)-'Δρομολόγια'!$R$17,"")</f>
        <v/>
      </c>
      <c r="N51" s="20">
        <f>IF('Δρομολόγια'!$P$18,ROUND(ROUND('Δρομολόγια'!$F$18*100,0)*(100-$A51)/100,0)/100*(1-'Δρομολόγια'!$S$18)-'Δρομολόγια'!$R$18,"")</f>
        <v/>
      </c>
      <c r="O51" s="20">
        <f>IF('Δρομολόγια'!$P$19,ROUND(ROUND('Δρομολόγια'!$F$19*100,0)*(100-$A51)/100,0)/100*(1-'Δρομολόγια'!$S$19)-'Δρομολόγια'!$R$19,"")</f>
        <v/>
      </c>
      <c r="P51" s="20">
        <f>IF('Δρομολόγια'!$P$20,ROUND(ROUND('Δρομολόγια'!$F$20*100,0)*(100-$A51)/100,0)/100*(1-'Δρομολόγια'!$S$20)-'Δρομολόγια'!$R$20,"")</f>
        <v/>
      </c>
      <c r="Q51" t="inlineStr">
        <is>
          <t>σαράντα πέντε</t>
        </is>
      </c>
    </row>
    <row r="52">
      <c r="A52" t="n">
        <v>46</v>
      </c>
      <c r="B52" s="20">
        <f>IF('Δρομολόγια'!$P$6,ROUND(ROUND('Δρομολόγια'!$F$6*100,0)*(100-$A52)/100,0)/100*(1-'Δρομολόγια'!$S$6)-'Δρομολόγια'!$R$6,"")</f>
        <v/>
      </c>
      <c r="C52" s="20">
        <f>IF('Δρομολόγια'!$P$7,ROUND(ROUND('Δρομολόγια'!$F$7*100,0)*(100-$A52)/100,0)/100*(1-'Δρομολόγια'!$S$7)-'Δρομολόγια'!$R$7,"")</f>
        <v/>
      </c>
      <c r="D52" s="20">
        <f>IF('Δρομολόγια'!$P$8,ROUND(ROUND('Δρομολόγια'!$F$8*100,0)*(100-$A52)/100,0)/100*(1-'Δρομολόγια'!$S$8)-'Δρομολόγια'!$R$8,"")</f>
        <v/>
      </c>
      <c r="E52" s="20">
        <f>IF('Δρομολόγια'!$P$9,ROUND(ROUND('Δρομολόγια'!$F$9*100,0)*(100-$A52)/100,0)/100*(1-'Δρομολόγια'!$S$9)-'Δρομολόγια'!$R$9,"")</f>
        <v/>
      </c>
      <c r="F52" s="20">
        <f>IF('Δρομολόγια'!$P$10,ROUND(ROUND('Δρομολόγια'!$F$10*100,0)*(100-$A52)/100,0)/100*(1-'Δρομολόγια'!$S$10)-'Δρομολόγια'!$R$10,"")</f>
        <v/>
      </c>
      <c r="G52" s="20">
        <f>IF('Δρομολόγια'!$P$11,ROUND(ROUND('Δρομολόγια'!$F$11*100,0)*(100-$A52)/100,0)/100*(1-'Δρομολόγια'!$S$11)-'Δρομολόγια'!$R$11,"")</f>
        <v/>
      </c>
      <c r="H52" s="20">
        <f>IF('Δρομολόγια'!$P$12,ROUND(ROUND('Δρομολόγια'!$F$12*100,0)*(100-$A52)/100,0)/100*(1-'Δρομολόγια'!$S$12)-'Δρομολόγια'!$R$12,"")</f>
        <v/>
      </c>
      <c r="I52" s="20">
        <f>IF('Δρομολόγια'!$P$13,ROUND(ROUND('Δρομολόγια'!$F$13*100,0)*(100-$A52)/100,0)/100*(1-'Δρομολόγια'!$S$13)-'Δρομολόγια'!$R$13,"")</f>
        <v/>
      </c>
      <c r="J52" s="20">
        <f>IF('Δρομολόγια'!$P$14,ROUND(ROUND('Δρομολόγια'!$F$14*100,0)*(100-$A52)/100,0)/100*(1-'Δρομολόγια'!$S$14)-'Δρομολόγια'!$R$14,"")</f>
        <v/>
      </c>
      <c r="K52" s="20">
        <f>IF('Δρομολόγια'!$P$15,ROUND(ROUND('Δρομολόγια'!$F$15*100,0)*(100-$A52)/100,0)/100*(1-'Δρομολόγια'!$S$15)-'Δρομολόγια'!$R$15,"")</f>
        <v/>
      </c>
      <c r="L52" s="20">
        <f>IF('Δρομολόγια'!$P$16,ROUND(ROUND('Δρομολόγια'!$F$16*100,0)*(100-$A52)/100,0)/100*(1-'Δρομολόγια'!$S$16)-'Δρομολόγια'!$R$16,"")</f>
        <v/>
      </c>
      <c r="M52" s="20">
        <f>IF('Δρομολόγια'!$P$17,ROUND(ROUND('Δρομολόγια'!$F$17*100,0)*(100-$A52)/100,0)/100*(1-'Δρομολόγια'!$S$17)-'Δρομολόγια'!$R$17,"")</f>
        <v/>
      </c>
      <c r="N52" s="20">
        <f>IF('Δρομολόγια'!$P$18,ROUND(ROUND('Δρομολόγια'!$F$18*100,0)*(100-$A52)/100,0)/100*(1-'Δρομολόγια'!$S$18)-'Δρομολόγια'!$R$18,"")</f>
        <v/>
      </c>
      <c r="O52" s="20">
        <f>IF('Δρομολόγια'!$P$19,ROUND(ROUND('Δρομολόγια'!$F$19*100,0)*(100-$A52)/100,0)/100*(1-'Δρομολόγια'!$S$19)-'Δρομολόγια'!$R$19,"")</f>
        <v/>
      </c>
      <c r="P52" s="20">
        <f>IF('Δρομολόγια'!$P$20,ROUND(ROUND('Δρομολόγια'!$F$20*100,0)*(100-$A52)/100,0)/100*(1-'Δρομολόγια'!$S$20)-'Δρομολόγια'!$R$20,"")</f>
        <v/>
      </c>
      <c r="Q52" t="inlineStr">
        <is>
          <t>σαράντα έξι</t>
        </is>
      </c>
    </row>
    <row r="53">
      <c r="A53" t="n">
        <v>47</v>
      </c>
      <c r="B53" s="20">
        <f>IF('Δρομολόγια'!$P$6,ROUND(ROUND('Δρομολόγια'!$F$6*100,0)*(100-$A53)/100,0)/100*(1-'Δρομολόγια'!$S$6)-'Δρομολόγια'!$R$6,"")</f>
        <v/>
      </c>
      <c r="C53" s="20">
        <f>IF('Δρομολόγια'!$P$7,ROUND(ROUND('Δρομολόγια'!$F$7*100,0)*(100-$A53)/100,0)/100*(1-'Δρομολόγια'!$S$7)-'Δρομολόγια'!$R$7,"")</f>
        <v/>
      </c>
      <c r="D53" s="20">
        <f>IF('Δρομολόγια'!$P$8,ROUND(ROUND('Δρομολόγια'!$F$8*100,0)*(100-$A53)/100,0)/100*(1-'Δρομολόγια'!$S$8)-'Δρομολόγια'!$R$8,"")</f>
        <v/>
      </c>
      <c r="E53" s="20">
        <f>IF('Δρομολόγια'!$P$9,ROUND(ROUND('Δρομολόγια'!$F$9*100,0)*(100-$A53)/100,0)/100*(1-'Δρομολόγια'!$S$9)-'Δρομολόγια'!$R$9,"")</f>
        <v/>
      </c>
      <c r="F53" s="20">
        <f>IF('Δρομολόγια'!$P$10,ROUND(ROUND('Δρομολόγια'!$F$10*100,0)*(100-$A53)/100,0)/100*(1-'Δρομολόγια'!$S$10)-'Δρομολόγια'!$R$10,"")</f>
        <v/>
      </c>
      <c r="G53" s="20">
        <f>IF('Δρομολόγια'!$P$11,ROUND(ROUND('Δρομολόγια'!$F$11*100,0)*(100-$A53)/100,0)/100*(1-'Δρομολόγια'!$S$11)-'Δρομολόγια'!$R$11,"")</f>
        <v/>
      </c>
      <c r="H53" s="20">
        <f>IF('Δρομολόγια'!$P$12,ROUND(ROUND('Δρομολόγια'!$F$12*100,0)*(100-$A53)/100,0)/100*(1-'Δρομολόγια'!$S$12)-'Δρομολόγια'!$R$12,"")</f>
        <v/>
      </c>
      <c r="I53" s="20">
        <f>IF('Δρομολόγια'!$P$13,ROUND(ROUND('Δρομολόγια'!$F$13*100,0)*(100-$A53)/100,0)/100*(1-'Δρομολόγια'!$S$13)-'Δρομολόγια'!$R$13,"")</f>
        <v/>
      </c>
      <c r="J53" s="20">
        <f>IF('Δρομολόγια'!$P$14,ROUND(ROUND('Δρομολόγια'!$F$14*100,0)*(100-$A53)/100,0)/100*(1-'Δρομολόγια'!$S$14)-'Δρομολόγια'!$R$14,"")</f>
        <v/>
      </c>
      <c r="K53" s="20">
        <f>IF('Δρομολόγια'!$P$15,ROUND(ROUND('Δρομολόγια'!$F$15*100,0)*(100-$A53)/100,0)/100*(1-'Δρομολόγια'!$S$15)-'Δρομολόγια'!$R$15,"")</f>
        <v/>
      </c>
      <c r="L53" s="20">
        <f>IF('Δρομολόγια'!$P$16,ROUND(ROUND('Δρομολόγια'!$F$16*100,0)*(100-$A53)/100,0)/100*(1-'Δρομολόγια'!$S$16)-'Δρομολόγια'!$R$16,"")</f>
        <v/>
      </c>
      <c r="M53" s="20">
        <f>IF('Δρομολόγια'!$P$17,ROUND(ROUND('Δρομολόγια'!$F$17*100,0)*(100-$A53)/100,0)/100*(1-'Δρομολόγια'!$S$17)-'Δρομολόγια'!$R$17,"")</f>
        <v/>
      </c>
      <c r="N53" s="20">
        <f>IF('Δρομολόγια'!$P$18,ROUND(ROUND('Δρομολόγια'!$F$18*100,0)*(100-$A53)/100,0)/100*(1-'Δρομολόγια'!$S$18)-'Δρομολόγια'!$R$18,"")</f>
        <v/>
      </c>
      <c r="O53" s="20">
        <f>IF('Δρομολόγια'!$P$19,ROUND(ROUND('Δρομολόγια'!$F$19*100,0)*(100-$A53)/100,0)/100*(1-'Δρομολόγια'!$S$19)-'Δρομολόγια'!$R$19,"")</f>
        <v/>
      </c>
      <c r="P53" s="20">
        <f>IF('Δρομολόγια'!$P$20,ROUND(ROUND('Δρομολόγια'!$F$20*100,0)*(100-$A53)/100,0)/100*(1-'Δρομολόγια'!$S$20)-'Δρομολόγια'!$R$20,"")</f>
        <v/>
      </c>
      <c r="Q53" t="inlineStr">
        <is>
          <t>σαράντα επτά</t>
        </is>
      </c>
    </row>
    <row r="54">
      <c r="A54" t="n">
        <v>48</v>
      </c>
      <c r="B54" s="20">
        <f>IF('Δρομολόγια'!$P$6,ROUND(ROUND('Δρομολόγια'!$F$6*100,0)*(100-$A54)/100,0)/100*(1-'Δρομολόγια'!$S$6)-'Δρομολόγια'!$R$6,"")</f>
        <v/>
      </c>
      <c r="C54" s="20">
        <f>IF('Δρομολόγια'!$P$7,ROUND(ROUND('Δρομολόγια'!$F$7*100,0)*(100-$A54)/100,0)/100*(1-'Δρομολόγια'!$S$7)-'Δρομολόγια'!$R$7,"")</f>
        <v/>
      </c>
      <c r="D54" s="20">
        <f>IF('Δρομολόγια'!$P$8,ROUND(ROUND('Δρομολόγια'!$F$8*100,0)*(100-$A54)/100,0)/100*(1-'Δρομολόγια'!$S$8)-'Δρομολόγια'!$R$8,"")</f>
        <v/>
      </c>
      <c r="E54" s="20">
        <f>IF('Δρομολόγια'!$P$9,ROUND(ROUND('Δρομολόγια'!$F$9*100,0)*(100-$A54)/100,0)/100*(1-'Δρομολόγια'!$S$9)-'Δρομολόγια'!$R$9,"")</f>
        <v/>
      </c>
      <c r="F54" s="20">
        <f>IF('Δρομολόγια'!$P$10,ROUND(ROUND('Δρομολόγια'!$F$10*100,0)*(100-$A54)/100,0)/100*(1-'Δρομολόγια'!$S$10)-'Δρομολόγια'!$R$10,"")</f>
        <v/>
      </c>
      <c r="G54" s="20">
        <f>IF('Δρομολόγια'!$P$11,ROUND(ROUND('Δρομολόγια'!$F$11*100,0)*(100-$A54)/100,0)/100*(1-'Δρομολόγια'!$S$11)-'Δρομολόγια'!$R$11,"")</f>
        <v/>
      </c>
      <c r="H54" s="20">
        <f>IF('Δρομολόγια'!$P$12,ROUND(ROUND('Δρομολόγια'!$F$12*100,0)*(100-$A54)/100,0)/100*(1-'Δρομολόγια'!$S$12)-'Δρομολόγια'!$R$12,"")</f>
        <v/>
      </c>
      <c r="I54" s="20">
        <f>IF('Δρομολόγια'!$P$13,ROUND(ROUND('Δρομολόγια'!$F$13*100,0)*(100-$A54)/100,0)/100*(1-'Δρομολόγια'!$S$13)-'Δρομολόγια'!$R$13,"")</f>
        <v/>
      </c>
      <c r="J54" s="20">
        <f>IF('Δρομολόγια'!$P$14,ROUND(ROUND('Δρομολόγια'!$F$14*100,0)*(100-$A54)/100,0)/100*(1-'Δρομολόγια'!$S$14)-'Δρομολόγια'!$R$14,"")</f>
        <v/>
      </c>
      <c r="K54" s="20">
        <f>IF('Δρομολόγια'!$P$15,ROUND(ROUND('Δρομολόγια'!$F$15*100,0)*(100-$A54)/100,0)/100*(1-'Δρομολόγια'!$S$15)-'Δρομολόγια'!$R$15,"")</f>
        <v/>
      </c>
      <c r="L54" s="20">
        <f>IF('Δρομολόγια'!$P$16,ROUND(ROUND('Δρομολόγια'!$F$16*100,0)*(100-$A54)/100,0)/100*(1-'Δρομολόγια'!$S$16)-'Δρομολόγια'!$R$16,"")</f>
        <v/>
      </c>
      <c r="M54" s="20">
        <f>IF('Δρομολόγια'!$P$17,ROUND(ROUND('Δρομολόγια'!$F$17*100,0)*(100-$A54)/100,0)/100*(1-'Δρομολόγια'!$S$17)-'Δρομολόγια'!$R$17,"")</f>
        <v/>
      </c>
      <c r="N54" s="20">
        <f>IF('Δρομολόγια'!$P$18,ROUND(ROUND('Δρομολόγια'!$F$18*100,0)*(100-$A54)/100,0)/100*(1-'Δρομολόγια'!$S$18)-'Δρομολόγια'!$R$18,"")</f>
        <v/>
      </c>
      <c r="O54" s="20">
        <f>IF('Δρομολόγια'!$P$19,ROUND(ROUND('Δρομολόγια'!$F$19*100,0)*(100-$A54)/100,0)/100*(1-'Δρομολόγια'!$S$19)-'Δρομολόγια'!$R$19,"")</f>
        <v/>
      </c>
      <c r="P54" s="20">
        <f>IF('Δρομολόγια'!$P$20,ROUND(ROUND('Δρομολόγια'!$F$20*100,0)*(100-$A54)/100,0)/100*(1-'Δρομολόγια'!$S$20)-'Δρομολόγια'!$R$20,"")</f>
        <v/>
      </c>
      <c r="Q54" t="inlineStr">
        <is>
          <t>σαράντα οκτώ</t>
        </is>
      </c>
    </row>
    <row r="55">
      <c r="A55" t="n">
        <v>49</v>
      </c>
      <c r="B55" s="20">
        <f>IF('Δρομολόγια'!$P$6,ROUND(ROUND('Δρομολόγια'!$F$6*100,0)*(100-$A55)/100,0)/100*(1-'Δρομολόγια'!$S$6)-'Δρομολόγια'!$R$6,"")</f>
        <v/>
      </c>
      <c r="C55" s="20">
        <f>IF('Δρομολόγια'!$P$7,ROUND(ROUND('Δρομολόγια'!$F$7*100,0)*(100-$A55)/100,0)/100*(1-'Δρομολόγια'!$S$7)-'Δρομολόγια'!$R$7,"")</f>
        <v/>
      </c>
      <c r="D55" s="20">
        <f>IF('Δρομολόγια'!$P$8,ROUND(ROUND('Δρομολόγια'!$F$8*100,0)*(100-$A55)/100,0)/100*(1-'Δρομολόγια'!$S$8)-'Δρομολόγια'!$R$8,"")</f>
        <v/>
      </c>
      <c r="E55" s="20">
        <f>IF('Δρομολόγια'!$P$9,ROUND(ROUND('Δρομολόγια'!$F$9*100,0)*(100-$A55)/100,0)/100*(1-'Δρομολόγια'!$S$9)-'Δρομολόγια'!$R$9,"")</f>
        <v/>
      </c>
      <c r="F55" s="20">
        <f>IF('Δρομολόγια'!$P$10,ROUND(ROUND('Δρομολόγια'!$F$10*100,0)*(100-$A55)/100,0)/100*(1-'Δρομολόγια'!$S$10)-'Δρομολόγια'!$R$10,"")</f>
        <v/>
      </c>
      <c r="G55" s="20">
        <f>IF('Δρομολόγια'!$P$11,ROUND(ROUND('Δρομολόγια'!$F$11*100,0)*(100-$A55)/100,0)/100*(1-'Δρομολόγια'!$S$11)-'Δρομολόγια'!$R$11,"")</f>
        <v/>
      </c>
      <c r="H55" s="20">
        <f>IF('Δρομολόγια'!$P$12,ROUND(ROUND('Δρομολόγια'!$F$12*100,0)*(100-$A55)/100,0)/100*(1-'Δρομολόγια'!$S$12)-'Δρομολόγια'!$R$12,"")</f>
        <v/>
      </c>
      <c r="I55" s="20">
        <f>IF('Δρομολόγια'!$P$13,ROUND(ROUND('Δρομολόγια'!$F$13*100,0)*(100-$A55)/100,0)/100*(1-'Δρομολόγια'!$S$13)-'Δρομολόγια'!$R$13,"")</f>
        <v/>
      </c>
      <c r="J55" s="20">
        <f>IF('Δρομολόγια'!$P$14,ROUND(ROUND('Δρομολόγια'!$F$14*100,0)*(100-$A55)/100,0)/100*(1-'Δρομολόγια'!$S$14)-'Δρομολόγια'!$R$14,"")</f>
        <v/>
      </c>
      <c r="K55" s="20">
        <f>IF('Δρομολόγια'!$P$15,ROUND(ROUND('Δρομολόγια'!$F$15*100,0)*(100-$A55)/100,0)/100*(1-'Δρομολόγια'!$S$15)-'Δρομολόγια'!$R$15,"")</f>
        <v/>
      </c>
      <c r="L55" s="20">
        <f>IF('Δρομολόγια'!$P$16,ROUND(ROUND('Δρομολόγια'!$F$16*100,0)*(100-$A55)/100,0)/100*(1-'Δρομολόγια'!$S$16)-'Δρομολόγια'!$R$16,"")</f>
        <v/>
      </c>
      <c r="M55" s="20">
        <f>IF('Δρομολόγια'!$P$17,ROUND(ROUND('Δρομολόγια'!$F$17*100,0)*(100-$A55)/100,0)/100*(1-'Δρομολόγια'!$S$17)-'Δρομολόγια'!$R$17,"")</f>
        <v/>
      </c>
      <c r="N55" s="20">
        <f>IF('Δρομολόγια'!$P$18,ROUND(ROUND('Δρομολόγια'!$F$18*100,0)*(100-$A55)/100,0)/100*(1-'Δρομολόγια'!$S$18)-'Δρομολόγια'!$R$18,"")</f>
        <v/>
      </c>
      <c r="O55" s="20">
        <f>IF('Δρομολόγια'!$P$19,ROUND(ROUND('Δρομολόγια'!$F$19*100,0)*(100-$A55)/100,0)/100*(1-'Δρομολόγια'!$S$19)-'Δρομολόγια'!$R$19,"")</f>
        <v/>
      </c>
      <c r="P55" s="20">
        <f>IF('Δρομολόγια'!$P$20,ROUND(ROUND('Δρομολόγια'!$F$20*100,0)*(100-$A55)/100,0)/100*(1-'Δρομολόγια'!$S$20)-'Δρομολόγια'!$R$20,"")</f>
        <v/>
      </c>
      <c r="Q55" t="inlineStr">
        <is>
          <t>σαράντα εννέα</t>
        </is>
      </c>
    </row>
    <row r="56">
      <c r="A56" t="n">
        <v>50</v>
      </c>
      <c r="B56" s="20">
        <f>IF('Δρομολόγια'!$P$6,ROUND(ROUND('Δρομολόγια'!$F$6*100,0)*(100-$A56)/100,0)/100*(1-'Δρομολόγια'!$S$6)-'Δρομολόγια'!$R$6,"")</f>
        <v/>
      </c>
      <c r="C56" s="20">
        <f>IF('Δρομολόγια'!$P$7,ROUND(ROUND('Δρομολόγια'!$F$7*100,0)*(100-$A56)/100,0)/100*(1-'Δρομολόγια'!$S$7)-'Δρομολόγια'!$R$7,"")</f>
        <v/>
      </c>
      <c r="D56" s="20">
        <f>IF('Δρομολόγια'!$P$8,ROUND(ROUND('Δρομολόγια'!$F$8*100,0)*(100-$A56)/100,0)/100*(1-'Δρομολόγια'!$S$8)-'Δρομολόγια'!$R$8,"")</f>
        <v/>
      </c>
      <c r="E56" s="20">
        <f>IF('Δρομολόγια'!$P$9,ROUND(ROUND('Δρομολόγια'!$F$9*100,0)*(100-$A56)/100,0)/100*(1-'Δρομολόγια'!$S$9)-'Δρομολόγια'!$R$9,"")</f>
        <v/>
      </c>
      <c r="F56" s="20">
        <f>IF('Δρομολόγια'!$P$10,ROUND(ROUND('Δρομολόγια'!$F$10*100,0)*(100-$A56)/100,0)/100*(1-'Δρομολόγια'!$S$10)-'Δρομολόγια'!$R$10,"")</f>
        <v/>
      </c>
      <c r="G56" s="20">
        <f>IF('Δρομολόγια'!$P$11,ROUND(ROUND('Δρομολόγια'!$F$11*100,0)*(100-$A56)/100,0)/100*(1-'Δρομολόγια'!$S$11)-'Δρομολόγια'!$R$11,"")</f>
        <v/>
      </c>
      <c r="H56" s="20">
        <f>IF('Δρομολόγια'!$P$12,ROUND(ROUND('Δρομολόγια'!$F$12*100,0)*(100-$A56)/100,0)/100*(1-'Δρομολόγια'!$S$12)-'Δρομολόγια'!$R$12,"")</f>
        <v/>
      </c>
      <c r="I56" s="20">
        <f>IF('Δρομολόγια'!$P$13,ROUND(ROUND('Δρομολόγια'!$F$13*100,0)*(100-$A56)/100,0)/100*(1-'Δρομολόγια'!$S$13)-'Δρομολόγια'!$R$13,"")</f>
        <v/>
      </c>
      <c r="J56" s="20">
        <f>IF('Δρομολόγια'!$P$14,ROUND(ROUND('Δρομολόγια'!$F$14*100,0)*(100-$A56)/100,0)/100*(1-'Δρομολόγια'!$S$14)-'Δρομολόγια'!$R$14,"")</f>
        <v/>
      </c>
      <c r="K56" s="20">
        <f>IF('Δρομολόγια'!$P$15,ROUND(ROUND('Δρομολόγια'!$F$15*100,0)*(100-$A56)/100,0)/100*(1-'Δρομολόγια'!$S$15)-'Δρομολόγια'!$R$15,"")</f>
        <v/>
      </c>
      <c r="L56" s="20">
        <f>IF('Δρομολόγια'!$P$16,ROUND(ROUND('Δρομολόγια'!$F$16*100,0)*(100-$A56)/100,0)/100*(1-'Δρομολόγια'!$S$16)-'Δρομολόγια'!$R$16,"")</f>
        <v/>
      </c>
      <c r="M56" s="20">
        <f>IF('Δρομολόγια'!$P$17,ROUND(ROUND('Δρομολόγια'!$F$17*100,0)*(100-$A56)/100,0)/100*(1-'Δρομολόγια'!$S$17)-'Δρομολόγια'!$R$17,"")</f>
        <v/>
      </c>
      <c r="N56" s="20">
        <f>IF('Δρομολόγια'!$P$18,ROUND(ROUND('Δρομολόγια'!$F$18*100,0)*(100-$A56)/100,0)/100*(1-'Δρομολόγια'!$S$18)-'Δρομολόγια'!$R$18,"")</f>
        <v/>
      </c>
      <c r="O56" s="20">
        <f>IF('Δρομολόγια'!$P$19,ROUND(ROUND('Δρομολόγια'!$F$19*100,0)*(100-$A56)/100,0)/100*(1-'Δρομολόγια'!$S$19)-'Δρομολόγια'!$R$19,"")</f>
        <v/>
      </c>
      <c r="P56" s="20">
        <f>IF('Δρομολόγια'!$P$20,ROUND(ROUND('Δρομολόγια'!$F$20*100,0)*(100-$A56)/100,0)/100*(1-'Δρομολόγια'!$S$20)-'Δρομολόγια'!$R$20,"")</f>
        <v/>
      </c>
      <c r="Q56" t="inlineStr">
        <is>
          <t>πενήντα</t>
        </is>
      </c>
    </row>
    <row r="57">
      <c r="A57" t="n">
        <v>51</v>
      </c>
      <c r="B57" s="20">
        <f>IF('Δρομολόγια'!$P$6,ROUND(ROUND('Δρομολόγια'!$F$6*100,0)*(100-$A57)/100,0)/100*(1-'Δρομολόγια'!$S$6)-'Δρομολόγια'!$R$6,"")</f>
        <v/>
      </c>
      <c r="C57" s="20">
        <f>IF('Δρομολόγια'!$P$7,ROUND(ROUND('Δρομολόγια'!$F$7*100,0)*(100-$A57)/100,0)/100*(1-'Δρομολόγια'!$S$7)-'Δρομολόγια'!$R$7,"")</f>
        <v/>
      </c>
      <c r="D57" s="20">
        <f>IF('Δρομολόγια'!$P$8,ROUND(ROUND('Δρομολόγια'!$F$8*100,0)*(100-$A57)/100,0)/100*(1-'Δρομολόγια'!$S$8)-'Δρομολόγια'!$R$8,"")</f>
        <v/>
      </c>
      <c r="E57" s="20">
        <f>IF('Δρομολόγια'!$P$9,ROUND(ROUND('Δρομολόγια'!$F$9*100,0)*(100-$A57)/100,0)/100*(1-'Δρομολόγια'!$S$9)-'Δρομολόγια'!$R$9,"")</f>
        <v/>
      </c>
      <c r="F57" s="20">
        <f>IF('Δρομολόγια'!$P$10,ROUND(ROUND('Δρομολόγια'!$F$10*100,0)*(100-$A57)/100,0)/100*(1-'Δρομολόγια'!$S$10)-'Δρομολόγια'!$R$10,"")</f>
        <v/>
      </c>
      <c r="G57" s="20">
        <f>IF('Δρομολόγια'!$P$11,ROUND(ROUND('Δρομολόγια'!$F$11*100,0)*(100-$A57)/100,0)/100*(1-'Δρομολόγια'!$S$11)-'Δρομολόγια'!$R$11,"")</f>
        <v/>
      </c>
      <c r="H57" s="20">
        <f>IF('Δρομολόγια'!$P$12,ROUND(ROUND('Δρομολόγια'!$F$12*100,0)*(100-$A57)/100,0)/100*(1-'Δρομολόγια'!$S$12)-'Δρομολόγια'!$R$12,"")</f>
        <v/>
      </c>
      <c r="I57" s="20">
        <f>IF('Δρομολόγια'!$P$13,ROUND(ROUND('Δρομολόγια'!$F$13*100,0)*(100-$A57)/100,0)/100*(1-'Δρομολόγια'!$S$13)-'Δρομολόγια'!$R$13,"")</f>
        <v/>
      </c>
      <c r="J57" s="20">
        <f>IF('Δρομολόγια'!$P$14,ROUND(ROUND('Δρομολόγια'!$F$14*100,0)*(100-$A57)/100,0)/100*(1-'Δρομολόγια'!$S$14)-'Δρομολόγια'!$R$14,"")</f>
        <v/>
      </c>
      <c r="K57" s="20">
        <f>IF('Δρομολόγια'!$P$15,ROUND(ROUND('Δρομολόγια'!$F$15*100,0)*(100-$A57)/100,0)/100*(1-'Δρομολόγια'!$S$15)-'Δρομολόγια'!$R$15,"")</f>
        <v/>
      </c>
      <c r="L57" s="20">
        <f>IF('Δρομολόγια'!$P$16,ROUND(ROUND('Δρομολόγια'!$F$16*100,0)*(100-$A57)/100,0)/100*(1-'Δρομολόγια'!$S$16)-'Δρομολόγια'!$R$16,"")</f>
        <v/>
      </c>
      <c r="M57" s="20">
        <f>IF('Δρομολόγια'!$P$17,ROUND(ROUND('Δρομολόγια'!$F$17*100,0)*(100-$A57)/100,0)/100*(1-'Δρομολόγια'!$S$17)-'Δρομολόγια'!$R$17,"")</f>
        <v/>
      </c>
      <c r="N57" s="20">
        <f>IF('Δρομολόγια'!$P$18,ROUND(ROUND('Δρομολόγια'!$F$18*100,0)*(100-$A57)/100,0)/100*(1-'Δρομολόγια'!$S$18)-'Δρομολόγια'!$R$18,"")</f>
        <v/>
      </c>
      <c r="O57" s="20">
        <f>IF('Δρομολόγια'!$P$19,ROUND(ROUND('Δρομολόγια'!$F$19*100,0)*(100-$A57)/100,0)/100*(1-'Δρομολόγια'!$S$19)-'Δρομολόγια'!$R$19,"")</f>
        <v/>
      </c>
      <c r="P57" s="20">
        <f>IF('Δρομολόγια'!$P$20,ROUND(ROUND('Δρομολόγια'!$F$20*100,0)*(100-$A57)/100,0)/100*(1-'Δρομολόγια'!$S$20)-'Δρομολόγια'!$R$20,"")</f>
        <v/>
      </c>
      <c r="Q57" t="inlineStr">
        <is>
          <t>πενήντα ένα</t>
        </is>
      </c>
    </row>
    <row r="58">
      <c r="A58" t="n">
        <v>52</v>
      </c>
      <c r="B58" s="20">
        <f>IF('Δρομολόγια'!$P$6,ROUND(ROUND('Δρομολόγια'!$F$6*100,0)*(100-$A58)/100,0)/100*(1-'Δρομολόγια'!$S$6)-'Δρομολόγια'!$R$6,"")</f>
        <v/>
      </c>
      <c r="C58" s="20">
        <f>IF('Δρομολόγια'!$P$7,ROUND(ROUND('Δρομολόγια'!$F$7*100,0)*(100-$A58)/100,0)/100*(1-'Δρομολόγια'!$S$7)-'Δρομολόγια'!$R$7,"")</f>
        <v/>
      </c>
      <c r="D58" s="20">
        <f>IF('Δρομολόγια'!$P$8,ROUND(ROUND('Δρομολόγια'!$F$8*100,0)*(100-$A58)/100,0)/100*(1-'Δρομολόγια'!$S$8)-'Δρομολόγια'!$R$8,"")</f>
        <v/>
      </c>
      <c r="E58" s="20">
        <f>IF('Δρομολόγια'!$P$9,ROUND(ROUND('Δρομολόγια'!$F$9*100,0)*(100-$A58)/100,0)/100*(1-'Δρομολόγια'!$S$9)-'Δρομολόγια'!$R$9,"")</f>
        <v/>
      </c>
      <c r="F58" s="20">
        <f>IF('Δρομολόγια'!$P$10,ROUND(ROUND('Δρομολόγια'!$F$10*100,0)*(100-$A58)/100,0)/100*(1-'Δρομολόγια'!$S$10)-'Δρομολόγια'!$R$10,"")</f>
        <v/>
      </c>
      <c r="G58" s="20">
        <f>IF('Δρομολόγια'!$P$11,ROUND(ROUND('Δρομολόγια'!$F$11*100,0)*(100-$A58)/100,0)/100*(1-'Δρομολόγια'!$S$11)-'Δρομολόγια'!$R$11,"")</f>
        <v/>
      </c>
      <c r="H58" s="20">
        <f>IF('Δρομολόγια'!$P$12,ROUND(ROUND('Δρομολόγια'!$F$12*100,0)*(100-$A58)/100,0)/100*(1-'Δρομολόγια'!$S$12)-'Δρομολόγια'!$R$12,"")</f>
        <v/>
      </c>
      <c r="I58" s="20">
        <f>IF('Δρομολόγια'!$P$13,ROUND(ROUND('Δρομολόγια'!$F$13*100,0)*(100-$A58)/100,0)/100*(1-'Δρομολόγια'!$S$13)-'Δρομολόγια'!$R$13,"")</f>
        <v/>
      </c>
      <c r="J58" s="20">
        <f>IF('Δρομολόγια'!$P$14,ROUND(ROUND('Δρομολόγια'!$F$14*100,0)*(100-$A58)/100,0)/100*(1-'Δρομολόγια'!$S$14)-'Δρομολόγια'!$R$14,"")</f>
        <v/>
      </c>
      <c r="K58" s="20">
        <f>IF('Δρομολόγια'!$P$15,ROUND(ROUND('Δρομολόγια'!$F$15*100,0)*(100-$A58)/100,0)/100*(1-'Δρομολόγια'!$S$15)-'Δρομολόγια'!$R$15,"")</f>
        <v/>
      </c>
      <c r="L58" s="20">
        <f>IF('Δρομολόγια'!$P$16,ROUND(ROUND('Δρομολόγια'!$F$16*100,0)*(100-$A58)/100,0)/100*(1-'Δρομολόγια'!$S$16)-'Δρομολόγια'!$R$16,"")</f>
        <v/>
      </c>
      <c r="M58" s="20">
        <f>IF('Δρομολόγια'!$P$17,ROUND(ROUND('Δρομολόγια'!$F$17*100,0)*(100-$A58)/100,0)/100*(1-'Δρομολόγια'!$S$17)-'Δρομολόγια'!$R$17,"")</f>
        <v/>
      </c>
      <c r="N58" s="20">
        <f>IF('Δρομολόγια'!$P$18,ROUND(ROUND('Δρομολόγια'!$F$18*100,0)*(100-$A58)/100,0)/100*(1-'Δρομολόγια'!$S$18)-'Δρομολόγια'!$R$18,"")</f>
        <v/>
      </c>
      <c r="O58" s="20">
        <f>IF('Δρομολόγια'!$P$19,ROUND(ROUND('Δρομολόγια'!$F$19*100,0)*(100-$A58)/100,0)/100*(1-'Δρομολόγια'!$S$19)-'Δρομολόγια'!$R$19,"")</f>
        <v/>
      </c>
      <c r="P58" s="20">
        <f>IF('Δρομολόγια'!$P$20,ROUND(ROUND('Δρομολόγια'!$F$20*100,0)*(100-$A58)/100,0)/100*(1-'Δρομολόγια'!$S$20)-'Δρομολόγια'!$R$20,"")</f>
        <v/>
      </c>
      <c r="Q58" t="inlineStr">
        <is>
          <t>πενήντα δύο</t>
        </is>
      </c>
    </row>
    <row r="59">
      <c r="A59" t="n">
        <v>53</v>
      </c>
      <c r="B59" s="20">
        <f>IF('Δρομολόγια'!$P$6,ROUND(ROUND('Δρομολόγια'!$F$6*100,0)*(100-$A59)/100,0)/100*(1-'Δρομολόγια'!$S$6)-'Δρομολόγια'!$R$6,"")</f>
        <v/>
      </c>
      <c r="C59" s="20">
        <f>IF('Δρομολόγια'!$P$7,ROUND(ROUND('Δρομολόγια'!$F$7*100,0)*(100-$A59)/100,0)/100*(1-'Δρομολόγια'!$S$7)-'Δρομολόγια'!$R$7,"")</f>
        <v/>
      </c>
      <c r="D59" s="20">
        <f>IF('Δρομολόγια'!$P$8,ROUND(ROUND('Δρομολόγια'!$F$8*100,0)*(100-$A59)/100,0)/100*(1-'Δρομολόγια'!$S$8)-'Δρομολόγια'!$R$8,"")</f>
        <v/>
      </c>
      <c r="E59" s="20">
        <f>IF('Δρομολόγια'!$P$9,ROUND(ROUND('Δρομολόγια'!$F$9*100,0)*(100-$A59)/100,0)/100*(1-'Δρομολόγια'!$S$9)-'Δρομολόγια'!$R$9,"")</f>
        <v/>
      </c>
      <c r="F59" s="20">
        <f>IF('Δρομολόγια'!$P$10,ROUND(ROUND('Δρομολόγια'!$F$10*100,0)*(100-$A59)/100,0)/100*(1-'Δρομολόγια'!$S$10)-'Δρομολόγια'!$R$10,"")</f>
        <v/>
      </c>
      <c r="G59" s="20">
        <f>IF('Δρομολόγια'!$P$11,ROUND(ROUND('Δρομολόγια'!$F$11*100,0)*(100-$A59)/100,0)/100*(1-'Δρομολόγια'!$S$11)-'Δρομολόγια'!$R$11,"")</f>
        <v/>
      </c>
      <c r="H59" s="20">
        <f>IF('Δρομολόγια'!$P$12,ROUND(ROUND('Δρομολόγια'!$F$12*100,0)*(100-$A59)/100,0)/100*(1-'Δρομολόγια'!$S$12)-'Δρομολόγια'!$R$12,"")</f>
        <v/>
      </c>
      <c r="I59" s="20">
        <f>IF('Δρομολόγια'!$P$13,ROUND(ROUND('Δρομολόγια'!$F$13*100,0)*(100-$A59)/100,0)/100*(1-'Δρομολόγια'!$S$13)-'Δρομολόγια'!$R$13,"")</f>
        <v/>
      </c>
      <c r="J59" s="20">
        <f>IF('Δρομολόγια'!$P$14,ROUND(ROUND('Δρομολόγια'!$F$14*100,0)*(100-$A59)/100,0)/100*(1-'Δρομολόγια'!$S$14)-'Δρομολόγια'!$R$14,"")</f>
        <v/>
      </c>
      <c r="K59" s="20">
        <f>IF('Δρομολόγια'!$P$15,ROUND(ROUND('Δρομολόγια'!$F$15*100,0)*(100-$A59)/100,0)/100*(1-'Δρομολόγια'!$S$15)-'Δρομολόγια'!$R$15,"")</f>
        <v/>
      </c>
      <c r="L59" s="20">
        <f>IF('Δρομολόγια'!$P$16,ROUND(ROUND('Δρομολόγια'!$F$16*100,0)*(100-$A59)/100,0)/100*(1-'Δρομολόγια'!$S$16)-'Δρομολόγια'!$R$16,"")</f>
        <v/>
      </c>
      <c r="M59" s="20">
        <f>IF('Δρομολόγια'!$P$17,ROUND(ROUND('Δρομολόγια'!$F$17*100,0)*(100-$A59)/100,0)/100*(1-'Δρομολόγια'!$S$17)-'Δρομολόγια'!$R$17,"")</f>
        <v/>
      </c>
      <c r="N59" s="20">
        <f>IF('Δρομολόγια'!$P$18,ROUND(ROUND('Δρομολόγια'!$F$18*100,0)*(100-$A59)/100,0)/100*(1-'Δρομολόγια'!$S$18)-'Δρομολόγια'!$R$18,"")</f>
        <v/>
      </c>
      <c r="O59" s="20">
        <f>IF('Δρομολόγια'!$P$19,ROUND(ROUND('Δρομολόγια'!$F$19*100,0)*(100-$A59)/100,0)/100*(1-'Δρομολόγια'!$S$19)-'Δρομολόγια'!$R$19,"")</f>
        <v/>
      </c>
      <c r="P59" s="20">
        <f>IF('Δρομολόγια'!$P$20,ROUND(ROUND('Δρομολόγια'!$F$20*100,0)*(100-$A59)/100,0)/100*(1-'Δρομολόγια'!$S$20)-'Δρομολόγια'!$R$20,"")</f>
        <v/>
      </c>
      <c r="Q59" t="inlineStr">
        <is>
          <t>πενήντα τρία</t>
        </is>
      </c>
    </row>
    <row r="60">
      <c r="A60" t="n">
        <v>54</v>
      </c>
      <c r="B60" s="20">
        <f>IF('Δρομολόγια'!$P$6,ROUND(ROUND('Δρομολόγια'!$F$6*100,0)*(100-$A60)/100,0)/100*(1-'Δρομολόγια'!$S$6)-'Δρομολόγια'!$R$6,"")</f>
        <v/>
      </c>
      <c r="C60" s="20">
        <f>IF('Δρομολόγια'!$P$7,ROUND(ROUND('Δρομολόγια'!$F$7*100,0)*(100-$A60)/100,0)/100*(1-'Δρομολόγια'!$S$7)-'Δρομολόγια'!$R$7,"")</f>
        <v/>
      </c>
      <c r="D60" s="20">
        <f>IF('Δρομολόγια'!$P$8,ROUND(ROUND('Δρομολόγια'!$F$8*100,0)*(100-$A60)/100,0)/100*(1-'Δρομολόγια'!$S$8)-'Δρομολόγια'!$R$8,"")</f>
        <v/>
      </c>
      <c r="E60" s="20">
        <f>IF('Δρομολόγια'!$P$9,ROUND(ROUND('Δρομολόγια'!$F$9*100,0)*(100-$A60)/100,0)/100*(1-'Δρομολόγια'!$S$9)-'Δρομολόγια'!$R$9,"")</f>
        <v/>
      </c>
      <c r="F60" s="20">
        <f>IF('Δρομολόγια'!$P$10,ROUND(ROUND('Δρομολόγια'!$F$10*100,0)*(100-$A60)/100,0)/100*(1-'Δρομολόγια'!$S$10)-'Δρομολόγια'!$R$10,"")</f>
        <v/>
      </c>
      <c r="G60" s="20">
        <f>IF('Δρομολόγια'!$P$11,ROUND(ROUND('Δρομολόγια'!$F$11*100,0)*(100-$A60)/100,0)/100*(1-'Δρομολόγια'!$S$11)-'Δρομολόγια'!$R$11,"")</f>
        <v/>
      </c>
      <c r="H60" s="20">
        <f>IF('Δρομολόγια'!$P$12,ROUND(ROUND('Δρομολόγια'!$F$12*100,0)*(100-$A60)/100,0)/100*(1-'Δρομολόγια'!$S$12)-'Δρομολόγια'!$R$12,"")</f>
        <v/>
      </c>
      <c r="I60" s="20">
        <f>IF('Δρομολόγια'!$P$13,ROUND(ROUND('Δρομολόγια'!$F$13*100,0)*(100-$A60)/100,0)/100*(1-'Δρομολόγια'!$S$13)-'Δρομολόγια'!$R$13,"")</f>
        <v/>
      </c>
      <c r="J60" s="20">
        <f>IF('Δρομολόγια'!$P$14,ROUND(ROUND('Δρομολόγια'!$F$14*100,0)*(100-$A60)/100,0)/100*(1-'Δρομολόγια'!$S$14)-'Δρομολόγια'!$R$14,"")</f>
        <v/>
      </c>
      <c r="K60" s="20">
        <f>IF('Δρομολόγια'!$P$15,ROUND(ROUND('Δρομολόγια'!$F$15*100,0)*(100-$A60)/100,0)/100*(1-'Δρομολόγια'!$S$15)-'Δρομολόγια'!$R$15,"")</f>
        <v/>
      </c>
      <c r="L60" s="20">
        <f>IF('Δρομολόγια'!$P$16,ROUND(ROUND('Δρομολόγια'!$F$16*100,0)*(100-$A60)/100,0)/100*(1-'Δρομολόγια'!$S$16)-'Δρομολόγια'!$R$16,"")</f>
        <v/>
      </c>
      <c r="M60" s="20">
        <f>IF('Δρομολόγια'!$P$17,ROUND(ROUND('Δρομολόγια'!$F$17*100,0)*(100-$A60)/100,0)/100*(1-'Δρομολόγια'!$S$17)-'Δρομολόγια'!$R$17,"")</f>
        <v/>
      </c>
      <c r="N60" s="20">
        <f>IF('Δρομολόγια'!$P$18,ROUND(ROUND('Δρομολόγια'!$F$18*100,0)*(100-$A60)/100,0)/100*(1-'Δρομολόγια'!$S$18)-'Δρομολόγια'!$R$18,"")</f>
        <v/>
      </c>
      <c r="O60" s="20">
        <f>IF('Δρομολόγια'!$P$19,ROUND(ROUND('Δρομολόγια'!$F$19*100,0)*(100-$A60)/100,0)/100*(1-'Δρομολόγια'!$S$19)-'Δρομολόγια'!$R$19,"")</f>
        <v/>
      </c>
      <c r="P60" s="20">
        <f>IF('Δρομολόγια'!$P$20,ROUND(ROUND('Δρομολόγια'!$F$20*100,0)*(100-$A60)/100,0)/100*(1-'Δρομολόγια'!$S$20)-'Δρομολόγια'!$R$20,"")</f>
        <v/>
      </c>
      <c r="Q60" t="inlineStr">
        <is>
          <t>πενήντα τέσσερα</t>
        </is>
      </c>
    </row>
    <row r="61">
      <c r="A61" t="n">
        <v>55</v>
      </c>
      <c r="B61" s="20">
        <f>IF('Δρομολόγια'!$P$6,ROUND(ROUND('Δρομολόγια'!$F$6*100,0)*(100-$A61)/100,0)/100*(1-'Δρομολόγια'!$S$6)-'Δρομολόγια'!$R$6,"")</f>
        <v/>
      </c>
      <c r="C61" s="20">
        <f>IF('Δρομολόγια'!$P$7,ROUND(ROUND('Δρομολόγια'!$F$7*100,0)*(100-$A61)/100,0)/100*(1-'Δρομολόγια'!$S$7)-'Δρομολόγια'!$R$7,"")</f>
        <v/>
      </c>
      <c r="D61" s="20">
        <f>IF('Δρομολόγια'!$P$8,ROUND(ROUND('Δρομολόγια'!$F$8*100,0)*(100-$A61)/100,0)/100*(1-'Δρομολόγια'!$S$8)-'Δρομολόγια'!$R$8,"")</f>
        <v/>
      </c>
      <c r="E61" s="20">
        <f>IF('Δρομολόγια'!$P$9,ROUND(ROUND('Δρομολόγια'!$F$9*100,0)*(100-$A61)/100,0)/100*(1-'Δρομολόγια'!$S$9)-'Δρομολόγια'!$R$9,"")</f>
        <v/>
      </c>
      <c r="F61" s="20">
        <f>IF('Δρομολόγια'!$P$10,ROUND(ROUND('Δρομολόγια'!$F$10*100,0)*(100-$A61)/100,0)/100*(1-'Δρομολόγια'!$S$10)-'Δρομολόγια'!$R$10,"")</f>
        <v/>
      </c>
      <c r="G61" s="20">
        <f>IF('Δρομολόγια'!$P$11,ROUND(ROUND('Δρομολόγια'!$F$11*100,0)*(100-$A61)/100,0)/100*(1-'Δρομολόγια'!$S$11)-'Δρομολόγια'!$R$11,"")</f>
        <v/>
      </c>
      <c r="H61" s="20">
        <f>IF('Δρομολόγια'!$P$12,ROUND(ROUND('Δρομολόγια'!$F$12*100,0)*(100-$A61)/100,0)/100*(1-'Δρομολόγια'!$S$12)-'Δρομολόγια'!$R$12,"")</f>
        <v/>
      </c>
      <c r="I61" s="20">
        <f>IF('Δρομολόγια'!$P$13,ROUND(ROUND('Δρομολόγια'!$F$13*100,0)*(100-$A61)/100,0)/100*(1-'Δρομολόγια'!$S$13)-'Δρομολόγια'!$R$13,"")</f>
        <v/>
      </c>
      <c r="J61" s="20">
        <f>IF('Δρομολόγια'!$P$14,ROUND(ROUND('Δρομολόγια'!$F$14*100,0)*(100-$A61)/100,0)/100*(1-'Δρομολόγια'!$S$14)-'Δρομολόγια'!$R$14,"")</f>
        <v/>
      </c>
      <c r="K61" s="20">
        <f>IF('Δρομολόγια'!$P$15,ROUND(ROUND('Δρομολόγια'!$F$15*100,0)*(100-$A61)/100,0)/100*(1-'Δρομολόγια'!$S$15)-'Δρομολόγια'!$R$15,"")</f>
        <v/>
      </c>
      <c r="L61" s="20">
        <f>IF('Δρομολόγια'!$P$16,ROUND(ROUND('Δρομολόγια'!$F$16*100,0)*(100-$A61)/100,0)/100*(1-'Δρομολόγια'!$S$16)-'Δρομολόγια'!$R$16,"")</f>
        <v/>
      </c>
      <c r="M61" s="20">
        <f>IF('Δρομολόγια'!$P$17,ROUND(ROUND('Δρομολόγια'!$F$17*100,0)*(100-$A61)/100,0)/100*(1-'Δρομολόγια'!$S$17)-'Δρομολόγια'!$R$17,"")</f>
        <v/>
      </c>
      <c r="N61" s="20">
        <f>IF('Δρομολόγια'!$P$18,ROUND(ROUND('Δρομολόγια'!$F$18*100,0)*(100-$A61)/100,0)/100*(1-'Δρομολόγια'!$S$18)-'Δρομολόγια'!$R$18,"")</f>
        <v/>
      </c>
      <c r="O61" s="20">
        <f>IF('Δρομολόγια'!$P$19,ROUND(ROUND('Δρομολόγια'!$F$19*100,0)*(100-$A61)/100,0)/100*(1-'Δρομολόγια'!$S$19)-'Δρομολόγια'!$R$19,"")</f>
        <v/>
      </c>
      <c r="P61" s="20">
        <f>IF('Δρομολόγια'!$P$20,ROUND(ROUND('Δρομολόγια'!$F$20*100,0)*(100-$A61)/100,0)/100*(1-'Δρομολόγια'!$S$20)-'Δρομολόγια'!$R$20,"")</f>
        <v/>
      </c>
      <c r="Q61" t="inlineStr">
        <is>
          <t>πενήντα πέντε</t>
        </is>
      </c>
    </row>
    <row r="62">
      <c r="A62" t="n">
        <v>56</v>
      </c>
      <c r="B62" s="20">
        <f>IF('Δρομολόγια'!$P$6,ROUND(ROUND('Δρομολόγια'!$F$6*100,0)*(100-$A62)/100,0)/100*(1-'Δρομολόγια'!$S$6)-'Δρομολόγια'!$R$6,"")</f>
        <v/>
      </c>
      <c r="C62" s="20">
        <f>IF('Δρομολόγια'!$P$7,ROUND(ROUND('Δρομολόγια'!$F$7*100,0)*(100-$A62)/100,0)/100*(1-'Δρομολόγια'!$S$7)-'Δρομολόγια'!$R$7,"")</f>
        <v/>
      </c>
      <c r="D62" s="20">
        <f>IF('Δρομολόγια'!$P$8,ROUND(ROUND('Δρομολόγια'!$F$8*100,0)*(100-$A62)/100,0)/100*(1-'Δρομολόγια'!$S$8)-'Δρομολόγια'!$R$8,"")</f>
        <v/>
      </c>
      <c r="E62" s="20">
        <f>IF('Δρομολόγια'!$P$9,ROUND(ROUND('Δρομολόγια'!$F$9*100,0)*(100-$A62)/100,0)/100*(1-'Δρομολόγια'!$S$9)-'Δρομολόγια'!$R$9,"")</f>
        <v/>
      </c>
      <c r="F62" s="20">
        <f>IF('Δρομολόγια'!$P$10,ROUND(ROUND('Δρομολόγια'!$F$10*100,0)*(100-$A62)/100,0)/100*(1-'Δρομολόγια'!$S$10)-'Δρομολόγια'!$R$10,"")</f>
        <v/>
      </c>
      <c r="G62" s="20">
        <f>IF('Δρομολόγια'!$P$11,ROUND(ROUND('Δρομολόγια'!$F$11*100,0)*(100-$A62)/100,0)/100*(1-'Δρομολόγια'!$S$11)-'Δρομολόγια'!$R$11,"")</f>
        <v/>
      </c>
      <c r="H62" s="20">
        <f>IF('Δρομολόγια'!$P$12,ROUND(ROUND('Δρομολόγια'!$F$12*100,0)*(100-$A62)/100,0)/100*(1-'Δρομολόγια'!$S$12)-'Δρομολόγια'!$R$12,"")</f>
        <v/>
      </c>
      <c r="I62" s="20">
        <f>IF('Δρομολόγια'!$P$13,ROUND(ROUND('Δρομολόγια'!$F$13*100,0)*(100-$A62)/100,0)/100*(1-'Δρομολόγια'!$S$13)-'Δρομολόγια'!$R$13,"")</f>
        <v/>
      </c>
      <c r="J62" s="20">
        <f>IF('Δρομολόγια'!$P$14,ROUND(ROUND('Δρομολόγια'!$F$14*100,0)*(100-$A62)/100,0)/100*(1-'Δρομολόγια'!$S$14)-'Δρομολόγια'!$R$14,"")</f>
        <v/>
      </c>
      <c r="K62" s="20">
        <f>IF('Δρομολόγια'!$P$15,ROUND(ROUND('Δρομολόγια'!$F$15*100,0)*(100-$A62)/100,0)/100*(1-'Δρομολόγια'!$S$15)-'Δρομολόγια'!$R$15,"")</f>
        <v/>
      </c>
      <c r="L62" s="20">
        <f>IF('Δρομολόγια'!$P$16,ROUND(ROUND('Δρομολόγια'!$F$16*100,0)*(100-$A62)/100,0)/100*(1-'Δρομολόγια'!$S$16)-'Δρομολόγια'!$R$16,"")</f>
        <v/>
      </c>
      <c r="M62" s="20">
        <f>IF('Δρομολόγια'!$P$17,ROUND(ROUND('Δρομολόγια'!$F$17*100,0)*(100-$A62)/100,0)/100*(1-'Δρομολόγια'!$S$17)-'Δρομολόγια'!$R$17,"")</f>
        <v/>
      </c>
      <c r="N62" s="20">
        <f>IF('Δρομολόγια'!$P$18,ROUND(ROUND('Δρομολόγια'!$F$18*100,0)*(100-$A62)/100,0)/100*(1-'Δρομολόγια'!$S$18)-'Δρομολόγια'!$R$18,"")</f>
        <v/>
      </c>
      <c r="O62" s="20">
        <f>IF('Δρομολόγια'!$P$19,ROUND(ROUND('Δρομολόγια'!$F$19*100,0)*(100-$A62)/100,0)/100*(1-'Δρομολόγια'!$S$19)-'Δρομολόγια'!$R$19,"")</f>
        <v/>
      </c>
      <c r="P62" s="20">
        <f>IF('Δρομολόγια'!$P$20,ROUND(ROUND('Δρομολόγια'!$F$20*100,0)*(100-$A62)/100,0)/100*(1-'Δρομολόγια'!$S$20)-'Δρομολόγια'!$R$20,"")</f>
        <v/>
      </c>
      <c r="Q62" t="inlineStr">
        <is>
          <t>πενήντα έξι</t>
        </is>
      </c>
    </row>
    <row r="63">
      <c r="A63" t="n">
        <v>57</v>
      </c>
      <c r="B63" s="20">
        <f>IF('Δρομολόγια'!$P$6,ROUND(ROUND('Δρομολόγια'!$F$6*100,0)*(100-$A63)/100,0)/100*(1-'Δρομολόγια'!$S$6)-'Δρομολόγια'!$R$6,"")</f>
        <v/>
      </c>
      <c r="C63" s="20">
        <f>IF('Δρομολόγια'!$P$7,ROUND(ROUND('Δρομολόγια'!$F$7*100,0)*(100-$A63)/100,0)/100*(1-'Δρομολόγια'!$S$7)-'Δρομολόγια'!$R$7,"")</f>
        <v/>
      </c>
      <c r="D63" s="20">
        <f>IF('Δρομολόγια'!$P$8,ROUND(ROUND('Δρομολόγια'!$F$8*100,0)*(100-$A63)/100,0)/100*(1-'Δρομολόγια'!$S$8)-'Δρομολόγια'!$R$8,"")</f>
        <v/>
      </c>
      <c r="E63" s="20">
        <f>IF('Δρομολόγια'!$P$9,ROUND(ROUND('Δρομολόγια'!$F$9*100,0)*(100-$A63)/100,0)/100*(1-'Δρομολόγια'!$S$9)-'Δρομολόγια'!$R$9,"")</f>
        <v/>
      </c>
      <c r="F63" s="20">
        <f>IF('Δρομολόγια'!$P$10,ROUND(ROUND('Δρομολόγια'!$F$10*100,0)*(100-$A63)/100,0)/100*(1-'Δρομολόγια'!$S$10)-'Δρομολόγια'!$R$10,"")</f>
        <v/>
      </c>
      <c r="G63" s="20">
        <f>IF('Δρομολόγια'!$P$11,ROUND(ROUND('Δρομολόγια'!$F$11*100,0)*(100-$A63)/100,0)/100*(1-'Δρομολόγια'!$S$11)-'Δρομολόγια'!$R$11,"")</f>
        <v/>
      </c>
      <c r="H63" s="20">
        <f>IF('Δρομολόγια'!$P$12,ROUND(ROUND('Δρομολόγια'!$F$12*100,0)*(100-$A63)/100,0)/100*(1-'Δρομολόγια'!$S$12)-'Δρομολόγια'!$R$12,"")</f>
        <v/>
      </c>
      <c r="I63" s="20">
        <f>IF('Δρομολόγια'!$P$13,ROUND(ROUND('Δρομολόγια'!$F$13*100,0)*(100-$A63)/100,0)/100*(1-'Δρομολόγια'!$S$13)-'Δρομολόγια'!$R$13,"")</f>
        <v/>
      </c>
      <c r="J63" s="20">
        <f>IF('Δρομολόγια'!$P$14,ROUND(ROUND('Δρομολόγια'!$F$14*100,0)*(100-$A63)/100,0)/100*(1-'Δρομολόγια'!$S$14)-'Δρομολόγια'!$R$14,"")</f>
        <v/>
      </c>
      <c r="K63" s="20">
        <f>IF('Δρομολόγια'!$P$15,ROUND(ROUND('Δρομολόγια'!$F$15*100,0)*(100-$A63)/100,0)/100*(1-'Δρομολόγια'!$S$15)-'Δρομολόγια'!$R$15,"")</f>
        <v/>
      </c>
      <c r="L63" s="20">
        <f>IF('Δρομολόγια'!$P$16,ROUND(ROUND('Δρομολόγια'!$F$16*100,0)*(100-$A63)/100,0)/100*(1-'Δρομολόγια'!$S$16)-'Δρομολόγια'!$R$16,"")</f>
        <v/>
      </c>
      <c r="M63" s="20">
        <f>IF('Δρομολόγια'!$P$17,ROUND(ROUND('Δρομολόγια'!$F$17*100,0)*(100-$A63)/100,0)/100*(1-'Δρομολόγια'!$S$17)-'Δρομολόγια'!$R$17,"")</f>
        <v/>
      </c>
      <c r="N63" s="20">
        <f>IF('Δρομολόγια'!$P$18,ROUND(ROUND('Δρομολόγια'!$F$18*100,0)*(100-$A63)/100,0)/100*(1-'Δρομολόγια'!$S$18)-'Δρομολόγια'!$R$18,"")</f>
        <v/>
      </c>
      <c r="O63" s="20">
        <f>IF('Δρομολόγια'!$P$19,ROUND(ROUND('Δρομολόγια'!$F$19*100,0)*(100-$A63)/100,0)/100*(1-'Δρομολόγια'!$S$19)-'Δρομολόγια'!$R$19,"")</f>
        <v/>
      </c>
      <c r="P63" s="20">
        <f>IF('Δρομολόγια'!$P$20,ROUND(ROUND('Δρομολόγια'!$F$20*100,0)*(100-$A63)/100,0)/100*(1-'Δρομολόγια'!$S$20)-'Δρομολόγια'!$R$20,"")</f>
        <v/>
      </c>
      <c r="Q63" t="inlineStr">
        <is>
          <t>πενήντα επτά</t>
        </is>
      </c>
    </row>
    <row r="64">
      <c r="A64" t="n">
        <v>58</v>
      </c>
      <c r="B64" s="20">
        <f>IF('Δρομολόγια'!$P$6,ROUND(ROUND('Δρομολόγια'!$F$6*100,0)*(100-$A64)/100,0)/100*(1-'Δρομολόγια'!$S$6)-'Δρομολόγια'!$R$6,"")</f>
        <v/>
      </c>
      <c r="C64" s="20">
        <f>IF('Δρομολόγια'!$P$7,ROUND(ROUND('Δρομολόγια'!$F$7*100,0)*(100-$A64)/100,0)/100*(1-'Δρομολόγια'!$S$7)-'Δρομολόγια'!$R$7,"")</f>
        <v/>
      </c>
      <c r="D64" s="20">
        <f>IF('Δρομολόγια'!$P$8,ROUND(ROUND('Δρομολόγια'!$F$8*100,0)*(100-$A64)/100,0)/100*(1-'Δρομολόγια'!$S$8)-'Δρομολόγια'!$R$8,"")</f>
        <v/>
      </c>
      <c r="E64" s="20">
        <f>IF('Δρομολόγια'!$P$9,ROUND(ROUND('Δρομολόγια'!$F$9*100,0)*(100-$A64)/100,0)/100*(1-'Δρομολόγια'!$S$9)-'Δρομολόγια'!$R$9,"")</f>
        <v/>
      </c>
      <c r="F64" s="20">
        <f>IF('Δρομολόγια'!$P$10,ROUND(ROUND('Δρομολόγια'!$F$10*100,0)*(100-$A64)/100,0)/100*(1-'Δρομολόγια'!$S$10)-'Δρομολόγια'!$R$10,"")</f>
        <v/>
      </c>
      <c r="G64" s="20">
        <f>IF('Δρομολόγια'!$P$11,ROUND(ROUND('Δρομολόγια'!$F$11*100,0)*(100-$A64)/100,0)/100*(1-'Δρομολόγια'!$S$11)-'Δρομολόγια'!$R$11,"")</f>
        <v/>
      </c>
      <c r="H64" s="20">
        <f>IF('Δρομολόγια'!$P$12,ROUND(ROUND('Δρομολόγια'!$F$12*100,0)*(100-$A64)/100,0)/100*(1-'Δρομολόγια'!$S$12)-'Δρομολόγια'!$R$12,"")</f>
        <v/>
      </c>
      <c r="I64" s="20">
        <f>IF('Δρομολόγια'!$P$13,ROUND(ROUND('Δρομολόγια'!$F$13*100,0)*(100-$A64)/100,0)/100*(1-'Δρομολόγια'!$S$13)-'Δρομολόγια'!$R$13,"")</f>
        <v/>
      </c>
      <c r="J64" s="20">
        <f>IF('Δρομολόγια'!$P$14,ROUND(ROUND('Δρομολόγια'!$F$14*100,0)*(100-$A64)/100,0)/100*(1-'Δρομολόγια'!$S$14)-'Δρομολόγια'!$R$14,"")</f>
        <v/>
      </c>
      <c r="K64" s="20">
        <f>IF('Δρομολόγια'!$P$15,ROUND(ROUND('Δρομολόγια'!$F$15*100,0)*(100-$A64)/100,0)/100*(1-'Δρομολόγια'!$S$15)-'Δρομολόγια'!$R$15,"")</f>
        <v/>
      </c>
      <c r="L64" s="20">
        <f>IF('Δρομολόγια'!$P$16,ROUND(ROUND('Δρομολόγια'!$F$16*100,0)*(100-$A64)/100,0)/100*(1-'Δρομολόγια'!$S$16)-'Δρομολόγια'!$R$16,"")</f>
        <v/>
      </c>
      <c r="M64" s="20">
        <f>IF('Δρομολόγια'!$P$17,ROUND(ROUND('Δρομολόγια'!$F$17*100,0)*(100-$A64)/100,0)/100*(1-'Δρομολόγια'!$S$17)-'Δρομολόγια'!$R$17,"")</f>
        <v/>
      </c>
      <c r="N64" s="20">
        <f>IF('Δρομολόγια'!$P$18,ROUND(ROUND('Δρομολόγια'!$F$18*100,0)*(100-$A64)/100,0)/100*(1-'Δρομολόγια'!$S$18)-'Δρομολόγια'!$R$18,"")</f>
        <v/>
      </c>
      <c r="O64" s="20">
        <f>IF('Δρομολόγια'!$P$19,ROUND(ROUND('Δρομολόγια'!$F$19*100,0)*(100-$A64)/100,0)/100*(1-'Δρομολόγια'!$S$19)-'Δρομολόγια'!$R$19,"")</f>
        <v/>
      </c>
      <c r="P64" s="20">
        <f>IF('Δρομολόγια'!$P$20,ROUND(ROUND('Δρομολόγια'!$F$20*100,0)*(100-$A64)/100,0)/100*(1-'Δρομολόγια'!$S$20)-'Δρομολόγια'!$R$20,"")</f>
        <v/>
      </c>
      <c r="Q64" t="inlineStr">
        <is>
          <t>πενήντα οκτώ</t>
        </is>
      </c>
    </row>
    <row r="65">
      <c r="A65" t="n">
        <v>59</v>
      </c>
      <c r="B65" s="20">
        <f>IF('Δρομολόγια'!$P$6,ROUND(ROUND('Δρομολόγια'!$F$6*100,0)*(100-$A65)/100,0)/100*(1-'Δρομολόγια'!$S$6)-'Δρομολόγια'!$R$6,"")</f>
        <v/>
      </c>
      <c r="C65" s="20">
        <f>IF('Δρομολόγια'!$P$7,ROUND(ROUND('Δρομολόγια'!$F$7*100,0)*(100-$A65)/100,0)/100*(1-'Δρομολόγια'!$S$7)-'Δρομολόγια'!$R$7,"")</f>
        <v/>
      </c>
      <c r="D65" s="20">
        <f>IF('Δρομολόγια'!$P$8,ROUND(ROUND('Δρομολόγια'!$F$8*100,0)*(100-$A65)/100,0)/100*(1-'Δρομολόγια'!$S$8)-'Δρομολόγια'!$R$8,"")</f>
        <v/>
      </c>
      <c r="E65" s="20">
        <f>IF('Δρομολόγια'!$P$9,ROUND(ROUND('Δρομολόγια'!$F$9*100,0)*(100-$A65)/100,0)/100*(1-'Δρομολόγια'!$S$9)-'Δρομολόγια'!$R$9,"")</f>
        <v/>
      </c>
      <c r="F65" s="20">
        <f>IF('Δρομολόγια'!$P$10,ROUND(ROUND('Δρομολόγια'!$F$10*100,0)*(100-$A65)/100,0)/100*(1-'Δρομολόγια'!$S$10)-'Δρομολόγια'!$R$10,"")</f>
        <v/>
      </c>
      <c r="G65" s="20">
        <f>IF('Δρομολόγια'!$P$11,ROUND(ROUND('Δρομολόγια'!$F$11*100,0)*(100-$A65)/100,0)/100*(1-'Δρομολόγια'!$S$11)-'Δρομολόγια'!$R$11,"")</f>
        <v/>
      </c>
      <c r="H65" s="20">
        <f>IF('Δρομολόγια'!$P$12,ROUND(ROUND('Δρομολόγια'!$F$12*100,0)*(100-$A65)/100,0)/100*(1-'Δρομολόγια'!$S$12)-'Δρομολόγια'!$R$12,"")</f>
        <v/>
      </c>
      <c r="I65" s="20">
        <f>IF('Δρομολόγια'!$P$13,ROUND(ROUND('Δρομολόγια'!$F$13*100,0)*(100-$A65)/100,0)/100*(1-'Δρομολόγια'!$S$13)-'Δρομολόγια'!$R$13,"")</f>
        <v/>
      </c>
      <c r="J65" s="20">
        <f>IF('Δρομολόγια'!$P$14,ROUND(ROUND('Δρομολόγια'!$F$14*100,0)*(100-$A65)/100,0)/100*(1-'Δρομολόγια'!$S$14)-'Δρομολόγια'!$R$14,"")</f>
        <v/>
      </c>
      <c r="K65" s="20">
        <f>IF('Δρομολόγια'!$P$15,ROUND(ROUND('Δρομολόγια'!$F$15*100,0)*(100-$A65)/100,0)/100*(1-'Δρομολόγια'!$S$15)-'Δρομολόγια'!$R$15,"")</f>
        <v/>
      </c>
      <c r="L65" s="20">
        <f>IF('Δρομολόγια'!$P$16,ROUND(ROUND('Δρομολόγια'!$F$16*100,0)*(100-$A65)/100,0)/100*(1-'Δρομολόγια'!$S$16)-'Δρομολόγια'!$R$16,"")</f>
        <v/>
      </c>
      <c r="M65" s="20">
        <f>IF('Δρομολόγια'!$P$17,ROUND(ROUND('Δρομολόγια'!$F$17*100,0)*(100-$A65)/100,0)/100*(1-'Δρομολόγια'!$S$17)-'Δρομολόγια'!$R$17,"")</f>
        <v/>
      </c>
      <c r="N65" s="20">
        <f>IF('Δρομολόγια'!$P$18,ROUND(ROUND('Δρομολόγια'!$F$18*100,0)*(100-$A65)/100,0)/100*(1-'Δρομολόγια'!$S$18)-'Δρομολόγια'!$R$18,"")</f>
        <v/>
      </c>
      <c r="O65" s="20">
        <f>IF('Δρομολόγια'!$P$19,ROUND(ROUND('Δρομολόγια'!$F$19*100,0)*(100-$A65)/100,0)/100*(1-'Δρομολόγια'!$S$19)-'Δρομολόγια'!$R$19,"")</f>
        <v/>
      </c>
      <c r="P65" s="20">
        <f>IF('Δρομολόγια'!$P$20,ROUND(ROUND('Δρομολόγια'!$F$20*100,0)*(100-$A65)/100,0)/100*(1-'Δρομολόγια'!$S$20)-'Δρομολόγια'!$R$20,"")</f>
        <v/>
      </c>
      <c r="Q65" t="inlineStr">
        <is>
          <t>πενήντα εννέα</t>
        </is>
      </c>
    </row>
    <row r="66">
      <c r="A66" t="n">
        <v>60</v>
      </c>
      <c r="B66" s="20">
        <f>IF('Δρομολόγια'!$P$6,ROUND(ROUND('Δρομολόγια'!$F$6*100,0)*(100-$A66)/100,0)/100*(1-'Δρομολόγια'!$S$6)-'Δρομολόγια'!$R$6,"")</f>
        <v/>
      </c>
      <c r="C66" s="20">
        <f>IF('Δρομολόγια'!$P$7,ROUND(ROUND('Δρομολόγια'!$F$7*100,0)*(100-$A66)/100,0)/100*(1-'Δρομολόγια'!$S$7)-'Δρομολόγια'!$R$7,"")</f>
        <v/>
      </c>
      <c r="D66" s="20">
        <f>IF('Δρομολόγια'!$P$8,ROUND(ROUND('Δρομολόγια'!$F$8*100,0)*(100-$A66)/100,0)/100*(1-'Δρομολόγια'!$S$8)-'Δρομολόγια'!$R$8,"")</f>
        <v/>
      </c>
      <c r="E66" s="20">
        <f>IF('Δρομολόγια'!$P$9,ROUND(ROUND('Δρομολόγια'!$F$9*100,0)*(100-$A66)/100,0)/100*(1-'Δρομολόγια'!$S$9)-'Δρομολόγια'!$R$9,"")</f>
        <v/>
      </c>
      <c r="F66" s="20">
        <f>IF('Δρομολόγια'!$P$10,ROUND(ROUND('Δρομολόγια'!$F$10*100,0)*(100-$A66)/100,0)/100*(1-'Δρομολόγια'!$S$10)-'Δρομολόγια'!$R$10,"")</f>
        <v/>
      </c>
      <c r="G66" s="20">
        <f>IF('Δρομολόγια'!$P$11,ROUND(ROUND('Δρομολόγια'!$F$11*100,0)*(100-$A66)/100,0)/100*(1-'Δρομολόγια'!$S$11)-'Δρομολόγια'!$R$11,"")</f>
        <v/>
      </c>
      <c r="H66" s="20">
        <f>IF('Δρομολόγια'!$P$12,ROUND(ROUND('Δρομολόγια'!$F$12*100,0)*(100-$A66)/100,0)/100*(1-'Δρομολόγια'!$S$12)-'Δρομολόγια'!$R$12,"")</f>
        <v/>
      </c>
      <c r="I66" s="20">
        <f>IF('Δρομολόγια'!$P$13,ROUND(ROUND('Δρομολόγια'!$F$13*100,0)*(100-$A66)/100,0)/100*(1-'Δρομολόγια'!$S$13)-'Δρομολόγια'!$R$13,"")</f>
        <v/>
      </c>
      <c r="J66" s="20">
        <f>IF('Δρομολόγια'!$P$14,ROUND(ROUND('Δρομολόγια'!$F$14*100,0)*(100-$A66)/100,0)/100*(1-'Δρομολόγια'!$S$14)-'Δρομολόγια'!$R$14,"")</f>
        <v/>
      </c>
      <c r="K66" s="20">
        <f>IF('Δρομολόγια'!$P$15,ROUND(ROUND('Δρομολόγια'!$F$15*100,0)*(100-$A66)/100,0)/100*(1-'Δρομολόγια'!$S$15)-'Δρομολόγια'!$R$15,"")</f>
        <v/>
      </c>
      <c r="L66" s="20">
        <f>IF('Δρομολόγια'!$P$16,ROUND(ROUND('Δρομολόγια'!$F$16*100,0)*(100-$A66)/100,0)/100*(1-'Δρομολόγια'!$S$16)-'Δρομολόγια'!$R$16,"")</f>
        <v/>
      </c>
      <c r="M66" s="20">
        <f>IF('Δρομολόγια'!$P$17,ROUND(ROUND('Δρομολόγια'!$F$17*100,0)*(100-$A66)/100,0)/100*(1-'Δρομολόγια'!$S$17)-'Δρομολόγια'!$R$17,"")</f>
        <v/>
      </c>
      <c r="N66" s="20">
        <f>IF('Δρομολόγια'!$P$18,ROUND(ROUND('Δρομολόγια'!$F$18*100,0)*(100-$A66)/100,0)/100*(1-'Δρομολόγια'!$S$18)-'Δρομολόγια'!$R$18,"")</f>
        <v/>
      </c>
      <c r="O66" s="20">
        <f>IF('Δρομολόγια'!$P$19,ROUND(ROUND('Δρομολόγια'!$F$19*100,0)*(100-$A66)/100,0)/100*(1-'Δρομολόγια'!$S$19)-'Δρομολόγια'!$R$19,"")</f>
        <v/>
      </c>
      <c r="P66" s="20">
        <f>IF('Δρομολόγια'!$P$20,ROUND(ROUND('Δρομολόγια'!$F$20*100,0)*(100-$A66)/100,0)/100*(1-'Δρομολόγια'!$S$20)-'Δρομολόγια'!$R$20,"")</f>
        <v/>
      </c>
      <c r="Q66" t="inlineStr">
        <is>
          <t>εξήντα</t>
        </is>
      </c>
    </row>
    <row r="67">
      <c r="A67" t="n">
        <v>61</v>
      </c>
      <c r="B67" s="20">
        <f>IF('Δρομολόγια'!$P$6,ROUND(ROUND('Δρομολόγια'!$F$6*100,0)*(100-$A67)/100,0)/100*(1-'Δρομολόγια'!$S$6)-'Δρομολόγια'!$R$6,"")</f>
        <v/>
      </c>
      <c r="C67" s="20">
        <f>IF('Δρομολόγια'!$P$7,ROUND(ROUND('Δρομολόγια'!$F$7*100,0)*(100-$A67)/100,0)/100*(1-'Δρομολόγια'!$S$7)-'Δρομολόγια'!$R$7,"")</f>
        <v/>
      </c>
      <c r="D67" s="20">
        <f>IF('Δρομολόγια'!$P$8,ROUND(ROUND('Δρομολόγια'!$F$8*100,0)*(100-$A67)/100,0)/100*(1-'Δρομολόγια'!$S$8)-'Δρομολόγια'!$R$8,"")</f>
        <v/>
      </c>
      <c r="E67" s="20">
        <f>IF('Δρομολόγια'!$P$9,ROUND(ROUND('Δρομολόγια'!$F$9*100,0)*(100-$A67)/100,0)/100*(1-'Δρομολόγια'!$S$9)-'Δρομολόγια'!$R$9,"")</f>
        <v/>
      </c>
      <c r="F67" s="20">
        <f>IF('Δρομολόγια'!$P$10,ROUND(ROUND('Δρομολόγια'!$F$10*100,0)*(100-$A67)/100,0)/100*(1-'Δρομολόγια'!$S$10)-'Δρομολόγια'!$R$10,"")</f>
        <v/>
      </c>
      <c r="G67" s="20">
        <f>IF('Δρομολόγια'!$P$11,ROUND(ROUND('Δρομολόγια'!$F$11*100,0)*(100-$A67)/100,0)/100*(1-'Δρομολόγια'!$S$11)-'Δρομολόγια'!$R$11,"")</f>
        <v/>
      </c>
      <c r="H67" s="20">
        <f>IF('Δρομολόγια'!$P$12,ROUND(ROUND('Δρομολόγια'!$F$12*100,0)*(100-$A67)/100,0)/100*(1-'Δρομολόγια'!$S$12)-'Δρομολόγια'!$R$12,"")</f>
        <v/>
      </c>
      <c r="I67" s="20">
        <f>IF('Δρομολόγια'!$P$13,ROUND(ROUND('Δρομολόγια'!$F$13*100,0)*(100-$A67)/100,0)/100*(1-'Δρομολόγια'!$S$13)-'Δρομολόγια'!$R$13,"")</f>
        <v/>
      </c>
      <c r="J67" s="20">
        <f>IF('Δρομολόγια'!$P$14,ROUND(ROUND('Δρομολόγια'!$F$14*100,0)*(100-$A67)/100,0)/100*(1-'Δρομολόγια'!$S$14)-'Δρομολόγια'!$R$14,"")</f>
        <v/>
      </c>
      <c r="K67" s="20">
        <f>IF('Δρομολόγια'!$P$15,ROUND(ROUND('Δρομολόγια'!$F$15*100,0)*(100-$A67)/100,0)/100*(1-'Δρομολόγια'!$S$15)-'Δρομολόγια'!$R$15,"")</f>
        <v/>
      </c>
      <c r="L67" s="20">
        <f>IF('Δρομολόγια'!$P$16,ROUND(ROUND('Δρομολόγια'!$F$16*100,0)*(100-$A67)/100,0)/100*(1-'Δρομολόγια'!$S$16)-'Δρομολόγια'!$R$16,"")</f>
        <v/>
      </c>
      <c r="M67" s="20">
        <f>IF('Δρομολόγια'!$P$17,ROUND(ROUND('Δρομολόγια'!$F$17*100,0)*(100-$A67)/100,0)/100*(1-'Δρομολόγια'!$S$17)-'Δρομολόγια'!$R$17,"")</f>
        <v/>
      </c>
      <c r="N67" s="20">
        <f>IF('Δρομολόγια'!$P$18,ROUND(ROUND('Δρομολόγια'!$F$18*100,0)*(100-$A67)/100,0)/100*(1-'Δρομολόγια'!$S$18)-'Δρομολόγια'!$R$18,"")</f>
        <v/>
      </c>
      <c r="O67" s="20">
        <f>IF('Δρομολόγια'!$P$19,ROUND(ROUND('Δρομολόγια'!$F$19*100,0)*(100-$A67)/100,0)/100*(1-'Δρομολόγια'!$S$19)-'Δρομολόγια'!$R$19,"")</f>
        <v/>
      </c>
      <c r="P67" s="20">
        <f>IF('Δρομολόγια'!$P$20,ROUND(ROUND('Δρομολόγια'!$F$20*100,0)*(100-$A67)/100,0)/100*(1-'Δρομολόγια'!$S$20)-'Δρομολόγια'!$R$20,"")</f>
        <v/>
      </c>
      <c r="Q67" t="inlineStr">
        <is>
          <t>εξήντα ένα</t>
        </is>
      </c>
    </row>
    <row r="68">
      <c r="A68" t="n">
        <v>62</v>
      </c>
      <c r="B68" s="20">
        <f>IF('Δρομολόγια'!$P$6,ROUND(ROUND('Δρομολόγια'!$F$6*100,0)*(100-$A68)/100,0)/100*(1-'Δρομολόγια'!$S$6)-'Δρομολόγια'!$R$6,"")</f>
        <v/>
      </c>
      <c r="C68" s="20">
        <f>IF('Δρομολόγια'!$P$7,ROUND(ROUND('Δρομολόγια'!$F$7*100,0)*(100-$A68)/100,0)/100*(1-'Δρομολόγια'!$S$7)-'Δρομολόγια'!$R$7,"")</f>
        <v/>
      </c>
      <c r="D68" s="20">
        <f>IF('Δρομολόγια'!$P$8,ROUND(ROUND('Δρομολόγια'!$F$8*100,0)*(100-$A68)/100,0)/100*(1-'Δρομολόγια'!$S$8)-'Δρομολόγια'!$R$8,"")</f>
        <v/>
      </c>
      <c r="E68" s="20">
        <f>IF('Δρομολόγια'!$P$9,ROUND(ROUND('Δρομολόγια'!$F$9*100,0)*(100-$A68)/100,0)/100*(1-'Δρομολόγια'!$S$9)-'Δρομολόγια'!$R$9,"")</f>
        <v/>
      </c>
      <c r="F68" s="20">
        <f>IF('Δρομολόγια'!$P$10,ROUND(ROUND('Δρομολόγια'!$F$10*100,0)*(100-$A68)/100,0)/100*(1-'Δρομολόγια'!$S$10)-'Δρομολόγια'!$R$10,"")</f>
        <v/>
      </c>
      <c r="G68" s="20">
        <f>IF('Δρομολόγια'!$P$11,ROUND(ROUND('Δρομολόγια'!$F$11*100,0)*(100-$A68)/100,0)/100*(1-'Δρομολόγια'!$S$11)-'Δρομολόγια'!$R$11,"")</f>
        <v/>
      </c>
      <c r="H68" s="20">
        <f>IF('Δρομολόγια'!$P$12,ROUND(ROUND('Δρομολόγια'!$F$12*100,0)*(100-$A68)/100,0)/100*(1-'Δρομολόγια'!$S$12)-'Δρομολόγια'!$R$12,"")</f>
        <v/>
      </c>
      <c r="I68" s="20">
        <f>IF('Δρομολόγια'!$P$13,ROUND(ROUND('Δρομολόγια'!$F$13*100,0)*(100-$A68)/100,0)/100*(1-'Δρομολόγια'!$S$13)-'Δρομολόγια'!$R$13,"")</f>
        <v/>
      </c>
      <c r="J68" s="20">
        <f>IF('Δρομολόγια'!$P$14,ROUND(ROUND('Δρομολόγια'!$F$14*100,0)*(100-$A68)/100,0)/100*(1-'Δρομολόγια'!$S$14)-'Δρομολόγια'!$R$14,"")</f>
        <v/>
      </c>
      <c r="K68" s="20">
        <f>IF('Δρομολόγια'!$P$15,ROUND(ROUND('Δρομολόγια'!$F$15*100,0)*(100-$A68)/100,0)/100*(1-'Δρομολόγια'!$S$15)-'Δρομολόγια'!$R$15,"")</f>
        <v/>
      </c>
      <c r="L68" s="20">
        <f>IF('Δρομολόγια'!$P$16,ROUND(ROUND('Δρομολόγια'!$F$16*100,0)*(100-$A68)/100,0)/100*(1-'Δρομολόγια'!$S$16)-'Δρομολόγια'!$R$16,"")</f>
        <v/>
      </c>
      <c r="M68" s="20">
        <f>IF('Δρομολόγια'!$P$17,ROUND(ROUND('Δρομολόγια'!$F$17*100,0)*(100-$A68)/100,0)/100*(1-'Δρομολόγια'!$S$17)-'Δρομολόγια'!$R$17,"")</f>
        <v/>
      </c>
      <c r="N68" s="20">
        <f>IF('Δρομολόγια'!$P$18,ROUND(ROUND('Δρομολόγια'!$F$18*100,0)*(100-$A68)/100,0)/100*(1-'Δρομολόγια'!$S$18)-'Δρομολόγια'!$R$18,"")</f>
        <v/>
      </c>
      <c r="O68" s="20">
        <f>IF('Δρομολόγια'!$P$19,ROUND(ROUND('Δρομολόγια'!$F$19*100,0)*(100-$A68)/100,0)/100*(1-'Δρομολόγια'!$S$19)-'Δρομολόγια'!$R$19,"")</f>
        <v/>
      </c>
      <c r="P68" s="20">
        <f>IF('Δρομολόγια'!$P$20,ROUND(ROUND('Δρομολόγια'!$F$20*100,0)*(100-$A68)/100,0)/100*(1-'Δρομολόγια'!$S$20)-'Δρομολόγια'!$R$20,"")</f>
        <v/>
      </c>
      <c r="Q68" t="inlineStr">
        <is>
          <t>εξήντα δύο</t>
        </is>
      </c>
    </row>
    <row r="69">
      <c r="A69" t="n">
        <v>63</v>
      </c>
      <c r="B69" s="20">
        <f>IF('Δρομολόγια'!$P$6,ROUND(ROUND('Δρομολόγια'!$F$6*100,0)*(100-$A69)/100,0)/100*(1-'Δρομολόγια'!$S$6)-'Δρομολόγια'!$R$6,"")</f>
        <v/>
      </c>
      <c r="C69" s="20">
        <f>IF('Δρομολόγια'!$P$7,ROUND(ROUND('Δρομολόγια'!$F$7*100,0)*(100-$A69)/100,0)/100*(1-'Δρομολόγια'!$S$7)-'Δρομολόγια'!$R$7,"")</f>
        <v/>
      </c>
      <c r="D69" s="20">
        <f>IF('Δρομολόγια'!$P$8,ROUND(ROUND('Δρομολόγια'!$F$8*100,0)*(100-$A69)/100,0)/100*(1-'Δρομολόγια'!$S$8)-'Δρομολόγια'!$R$8,"")</f>
        <v/>
      </c>
      <c r="E69" s="20">
        <f>IF('Δρομολόγια'!$P$9,ROUND(ROUND('Δρομολόγια'!$F$9*100,0)*(100-$A69)/100,0)/100*(1-'Δρομολόγια'!$S$9)-'Δρομολόγια'!$R$9,"")</f>
        <v/>
      </c>
      <c r="F69" s="20">
        <f>IF('Δρομολόγια'!$P$10,ROUND(ROUND('Δρομολόγια'!$F$10*100,0)*(100-$A69)/100,0)/100*(1-'Δρομολόγια'!$S$10)-'Δρομολόγια'!$R$10,"")</f>
        <v/>
      </c>
      <c r="G69" s="20">
        <f>IF('Δρομολόγια'!$P$11,ROUND(ROUND('Δρομολόγια'!$F$11*100,0)*(100-$A69)/100,0)/100*(1-'Δρομολόγια'!$S$11)-'Δρομολόγια'!$R$11,"")</f>
        <v/>
      </c>
      <c r="H69" s="20">
        <f>IF('Δρομολόγια'!$P$12,ROUND(ROUND('Δρομολόγια'!$F$12*100,0)*(100-$A69)/100,0)/100*(1-'Δρομολόγια'!$S$12)-'Δρομολόγια'!$R$12,"")</f>
        <v/>
      </c>
      <c r="I69" s="20">
        <f>IF('Δρομολόγια'!$P$13,ROUND(ROUND('Δρομολόγια'!$F$13*100,0)*(100-$A69)/100,0)/100*(1-'Δρομολόγια'!$S$13)-'Δρομολόγια'!$R$13,"")</f>
        <v/>
      </c>
      <c r="J69" s="20">
        <f>IF('Δρομολόγια'!$P$14,ROUND(ROUND('Δρομολόγια'!$F$14*100,0)*(100-$A69)/100,0)/100*(1-'Δρομολόγια'!$S$14)-'Δρομολόγια'!$R$14,"")</f>
        <v/>
      </c>
      <c r="K69" s="20">
        <f>IF('Δρομολόγια'!$P$15,ROUND(ROUND('Δρομολόγια'!$F$15*100,0)*(100-$A69)/100,0)/100*(1-'Δρομολόγια'!$S$15)-'Δρομολόγια'!$R$15,"")</f>
        <v/>
      </c>
      <c r="L69" s="20">
        <f>IF('Δρομολόγια'!$P$16,ROUND(ROUND('Δρομολόγια'!$F$16*100,0)*(100-$A69)/100,0)/100*(1-'Δρομολόγια'!$S$16)-'Δρομολόγια'!$R$16,"")</f>
        <v/>
      </c>
      <c r="M69" s="20">
        <f>IF('Δρομολόγια'!$P$17,ROUND(ROUND('Δρομολόγια'!$F$17*100,0)*(100-$A69)/100,0)/100*(1-'Δρομολόγια'!$S$17)-'Δρομολόγια'!$R$17,"")</f>
        <v/>
      </c>
      <c r="N69" s="20">
        <f>IF('Δρομολόγια'!$P$18,ROUND(ROUND('Δρομολόγια'!$F$18*100,0)*(100-$A69)/100,0)/100*(1-'Δρομολόγια'!$S$18)-'Δρομολόγια'!$R$18,"")</f>
        <v/>
      </c>
      <c r="O69" s="20">
        <f>IF('Δρομολόγια'!$P$19,ROUND(ROUND('Δρομολόγια'!$F$19*100,0)*(100-$A69)/100,0)/100*(1-'Δρομολόγια'!$S$19)-'Δρομολόγια'!$R$19,"")</f>
        <v/>
      </c>
      <c r="P69" s="20">
        <f>IF('Δρομολόγια'!$P$20,ROUND(ROUND('Δρομολόγια'!$F$20*100,0)*(100-$A69)/100,0)/100*(1-'Δρομολόγια'!$S$20)-'Δρομολόγια'!$R$20,"")</f>
        <v/>
      </c>
      <c r="Q69" t="inlineStr">
        <is>
          <t>εξήντα τρία</t>
        </is>
      </c>
    </row>
    <row r="70">
      <c r="A70" t="n">
        <v>64</v>
      </c>
      <c r="B70" s="20">
        <f>IF('Δρομολόγια'!$P$6,ROUND(ROUND('Δρομολόγια'!$F$6*100,0)*(100-$A70)/100,0)/100*(1-'Δρομολόγια'!$S$6)-'Δρομολόγια'!$R$6,"")</f>
        <v/>
      </c>
      <c r="C70" s="20">
        <f>IF('Δρομολόγια'!$P$7,ROUND(ROUND('Δρομολόγια'!$F$7*100,0)*(100-$A70)/100,0)/100*(1-'Δρομολόγια'!$S$7)-'Δρομολόγια'!$R$7,"")</f>
        <v/>
      </c>
      <c r="D70" s="20">
        <f>IF('Δρομολόγια'!$P$8,ROUND(ROUND('Δρομολόγια'!$F$8*100,0)*(100-$A70)/100,0)/100*(1-'Δρομολόγια'!$S$8)-'Δρομολόγια'!$R$8,"")</f>
        <v/>
      </c>
      <c r="E70" s="20">
        <f>IF('Δρομολόγια'!$P$9,ROUND(ROUND('Δρομολόγια'!$F$9*100,0)*(100-$A70)/100,0)/100*(1-'Δρομολόγια'!$S$9)-'Δρομολόγια'!$R$9,"")</f>
        <v/>
      </c>
      <c r="F70" s="20">
        <f>IF('Δρομολόγια'!$P$10,ROUND(ROUND('Δρομολόγια'!$F$10*100,0)*(100-$A70)/100,0)/100*(1-'Δρομολόγια'!$S$10)-'Δρομολόγια'!$R$10,"")</f>
        <v/>
      </c>
      <c r="G70" s="20">
        <f>IF('Δρομολόγια'!$P$11,ROUND(ROUND('Δρομολόγια'!$F$11*100,0)*(100-$A70)/100,0)/100*(1-'Δρομολόγια'!$S$11)-'Δρομολόγια'!$R$11,"")</f>
        <v/>
      </c>
      <c r="H70" s="20">
        <f>IF('Δρομολόγια'!$P$12,ROUND(ROUND('Δρομολόγια'!$F$12*100,0)*(100-$A70)/100,0)/100*(1-'Δρομολόγια'!$S$12)-'Δρομολόγια'!$R$12,"")</f>
        <v/>
      </c>
      <c r="I70" s="20">
        <f>IF('Δρομολόγια'!$P$13,ROUND(ROUND('Δρομολόγια'!$F$13*100,0)*(100-$A70)/100,0)/100*(1-'Δρομολόγια'!$S$13)-'Δρομολόγια'!$R$13,"")</f>
        <v/>
      </c>
      <c r="J70" s="20">
        <f>IF('Δρομολόγια'!$P$14,ROUND(ROUND('Δρομολόγια'!$F$14*100,0)*(100-$A70)/100,0)/100*(1-'Δρομολόγια'!$S$14)-'Δρομολόγια'!$R$14,"")</f>
        <v/>
      </c>
      <c r="K70" s="20">
        <f>IF('Δρομολόγια'!$P$15,ROUND(ROUND('Δρομολόγια'!$F$15*100,0)*(100-$A70)/100,0)/100*(1-'Δρομολόγια'!$S$15)-'Δρομολόγια'!$R$15,"")</f>
        <v/>
      </c>
      <c r="L70" s="20">
        <f>IF('Δρομολόγια'!$P$16,ROUND(ROUND('Δρομολόγια'!$F$16*100,0)*(100-$A70)/100,0)/100*(1-'Δρομολόγια'!$S$16)-'Δρομολόγια'!$R$16,"")</f>
        <v/>
      </c>
      <c r="M70" s="20">
        <f>IF('Δρομολόγια'!$P$17,ROUND(ROUND('Δρομολόγια'!$F$17*100,0)*(100-$A70)/100,0)/100*(1-'Δρομολόγια'!$S$17)-'Δρομολόγια'!$R$17,"")</f>
        <v/>
      </c>
      <c r="N70" s="20">
        <f>IF('Δρομολόγια'!$P$18,ROUND(ROUND('Δρομολόγια'!$F$18*100,0)*(100-$A70)/100,0)/100*(1-'Δρομολόγια'!$S$18)-'Δρομολόγια'!$R$18,"")</f>
        <v/>
      </c>
      <c r="O70" s="20">
        <f>IF('Δρομολόγια'!$P$19,ROUND(ROUND('Δρομολόγια'!$F$19*100,0)*(100-$A70)/100,0)/100*(1-'Δρομολόγια'!$S$19)-'Δρομολόγια'!$R$19,"")</f>
        <v/>
      </c>
      <c r="P70" s="20">
        <f>IF('Δρομολόγια'!$P$20,ROUND(ROUND('Δρομολόγια'!$F$20*100,0)*(100-$A70)/100,0)/100*(1-'Δρομολόγια'!$S$20)-'Δρομολόγια'!$R$20,"")</f>
        <v/>
      </c>
      <c r="Q70" t="inlineStr">
        <is>
          <t>εξήντα τέσσερα</t>
        </is>
      </c>
    </row>
    <row r="71">
      <c r="A71" t="n">
        <v>65</v>
      </c>
      <c r="B71" s="20">
        <f>IF('Δρομολόγια'!$P$6,ROUND(ROUND('Δρομολόγια'!$F$6*100,0)*(100-$A71)/100,0)/100*(1-'Δρομολόγια'!$S$6)-'Δρομολόγια'!$R$6,"")</f>
        <v/>
      </c>
      <c r="C71" s="20">
        <f>IF('Δρομολόγια'!$P$7,ROUND(ROUND('Δρομολόγια'!$F$7*100,0)*(100-$A71)/100,0)/100*(1-'Δρομολόγια'!$S$7)-'Δρομολόγια'!$R$7,"")</f>
        <v/>
      </c>
      <c r="D71" s="20">
        <f>IF('Δρομολόγια'!$P$8,ROUND(ROUND('Δρομολόγια'!$F$8*100,0)*(100-$A71)/100,0)/100*(1-'Δρομολόγια'!$S$8)-'Δρομολόγια'!$R$8,"")</f>
        <v/>
      </c>
      <c r="E71" s="20">
        <f>IF('Δρομολόγια'!$P$9,ROUND(ROUND('Δρομολόγια'!$F$9*100,0)*(100-$A71)/100,0)/100*(1-'Δρομολόγια'!$S$9)-'Δρομολόγια'!$R$9,"")</f>
        <v/>
      </c>
      <c r="F71" s="20">
        <f>IF('Δρομολόγια'!$P$10,ROUND(ROUND('Δρομολόγια'!$F$10*100,0)*(100-$A71)/100,0)/100*(1-'Δρομολόγια'!$S$10)-'Δρομολόγια'!$R$10,"")</f>
        <v/>
      </c>
      <c r="G71" s="20">
        <f>IF('Δρομολόγια'!$P$11,ROUND(ROUND('Δρομολόγια'!$F$11*100,0)*(100-$A71)/100,0)/100*(1-'Δρομολόγια'!$S$11)-'Δρομολόγια'!$R$11,"")</f>
        <v/>
      </c>
      <c r="H71" s="20">
        <f>IF('Δρομολόγια'!$P$12,ROUND(ROUND('Δρομολόγια'!$F$12*100,0)*(100-$A71)/100,0)/100*(1-'Δρομολόγια'!$S$12)-'Δρομολόγια'!$R$12,"")</f>
        <v/>
      </c>
      <c r="I71" s="20">
        <f>IF('Δρομολόγια'!$P$13,ROUND(ROUND('Δρομολόγια'!$F$13*100,0)*(100-$A71)/100,0)/100*(1-'Δρομολόγια'!$S$13)-'Δρομολόγια'!$R$13,"")</f>
        <v/>
      </c>
      <c r="J71" s="20">
        <f>IF('Δρομολόγια'!$P$14,ROUND(ROUND('Δρομολόγια'!$F$14*100,0)*(100-$A71)/100,0)/100*(1-'Δρομολόγια'!$S$14)-'Δρομολόγια'!$R$14,"")</f>
        <v/>
      </c>
      <c r="K71" s="20">
        <f>IF('Δρομολόγια'!$P$15,ROUND(ROUND('Δρομολόγια'!$F$15*100,0)*(100-$A71)/100,0)/100*(1-'Δρομολόγια'!$S$15)-'Δρομολόγια'!$R$15,"")</f>
        <v/>
      </c>
      <c r="L71" s="20">
        <f>IF('Δρομολόγια'!$P$16,ROUND(ROUND('Δρομολόγια'!$F$16*100,0)*(100-$A71)/100,0)/100*(1-'Δρομολόγια'!$S$16)-'Δρομολόγια'!$R$16,"")</f>
        <v/>
      </c>
      <c r="M71" s="20">
        <f>IF('Δρομολόγια'!$P$17,ROUND(ROUND('Δρομολόγια'!$F$17*100,0)*(100-$A71)/100,0)/100*(1-'Δρομολόγια'!$S$17)-'Δρομολόγια'!$R$17,"")</f>
        <v/>
      </c>
      <c r="N71" s="20">
        <f>IF('Δρομολόγια'!$P$18,ROUND(ROUND('Δρομολόγια'!$F$18*100,0)*(100-$A71)/100,0)/100*(1-'Δρομολόγια'!$S$18)-'Δρομολόγια'!$R$18,"")</f>
        <v/>
      </c>
      <c r="O71" s="20">
        <f>IF('Δρομολόγια'!$P$19,ROUND(ROUND('Δρομολόγια'!$F$19*100,0)*(100-$A71)/100,0)/100*(1-'Δρομολόγια'!$S$19)-'Δρομολόγια'!$R$19,"")</f>
        <v/>
      </c>
      <c r="P71" s="20">
        <f>IF('Δρομολόγια'!$P$20,ROUND(ROUND('Δρομολόγια'!$F$20*100,0)*(100-$A71)/100,0)/100*(1-'Δρομολόγια'!$S$20)-'Δρομολόγια'!$R$20,"")</f>
        <v/>
      </c>
      <c r="Q71" t="inlineStr">
        <is>
          <t>εξήντα πέντε</t>
        </is>
      </c>
    </row>
    <row r="72">
      <c r="A72" t="n">
        <v>66</v>
      </c>
      <c r="B72" s="20">
        <f>IF('Δρομολόγια'!$P$6,ROUND(ROUND('Δρομολόγια'!$F$6*100,0)*(100-$A72)/100,0)/100*(1-'Δρομολόγια'!$S$6)-'Δρομολόγια'!$R$6,"")</f>
        <v/>
      </c>
      <c r="C72" s="20">
        <f>IF('Δρομολόγια'!$P$7,ROUND(ROUND('Δρομολόγια'!$F$7*100,0)*(100-$A72)/100,0)/100*(1-'Δρομολόγια'!$S$7)-'Δρομολόγια'!$R$7,"")</f>
        <v/>
      </c>
      <c r="D72" s="20">
        <f>IF('Δρομολόγια'!$P$8,ROUND(ROUND('Δρομολόγια'!$F$8*100,0)*(100-$A72)/100,0)/100*(1-'Δρομολόγια'!$S$8)-'Δρομολόγια'!$R$8,"")</f>
        <v/>
      </c>
      <c r="E72" s="20">
        <f>IF('Δρομολόγια'!$P$9,ROUND(ROUND('Δρομολόγια'!$F$9*100,0)*(100-$A72)/100,0)/100*(1-'Δρομολόγια'!$S$9)-'Δρομολόγια'!$R$9,"")</f>
        <v/>
      </c>
      <c r="F72" s="20">
        <f>IF('Δρομολόγια'!$P$10,ROUND(ROUND('Δρομολόγια'!$F$10*100,0)*(100-$A72)/100,0)/100*(1-'Δρομολόγια'!$S$10)-'Δρομολόγια'!$R$10,"")</f>
        <v/>
      </c>
      <c r="G72" s="20">
        <f>IF('Δρομολόγια'!$P$11,ROUND(ROUND('Δρομολόγια'!$F$11*100,0)*(100-$A72)/100,0)/100*(1-'Δρομολόγια'!$S$11)-'Δρομολόγια'!$R$11,"")</f>
        <v/>
      </c>
      <c r="H72" s="20">
        <f>IF('Δρομολόγια'!$P$12,ROUND(ROUND('Δρομολόγια'!$F$12*100,0)*(100-$A72)/100,0)/100*(1-'Δρομολόγια'!$S$12)-'Δρομολόγια'!$R$12,"")</f>
        <v/>
      </c>
      <c r="I72" s="20">
        <f>IF('Δρομολόγια'!$P$13,ROUND(ROUND('Δρομολόγια'!$F$13*100,0)*(100-$A72)/100,0)/100*(1-'Δρομολόγια'!$S$13)-'Δρομολόγια'!$R$13,"")</f>
        <v/>
      </c>
      <c r="J72" s="20">
        <f>IF('Δρομολόγια'!$P$14,ROUND(ROUND('Δρομολόγια'!$F$14*100,0)*(100-$A72)/100,0)/100*(1-'Δρομολόγια'!$S$14)-'Δρομολόγια'!$R$14,"")</f>
        <v/>
      </c>
      <c r="K72" s="20">
        <f>IF('Δρομολόγια'!$P$15,ROUND(ROUND('Δρομολόγια'!$F$15*100,0)*(100-$A72)/100,0)/100*(1-'Δρομολόγια'!$S$15)-'Δρομολόγια'!$R$15,"")</f>
        <v/>
      </c>
      <c r="L72" s="20">
        <f>IF('Δρομολόγια'!$P$16,ROUND(ROUND('Δρομολόγια'!$F$16*100,0)*(100-$A72)/100,0)/100*(1-'Δρομολόγια'!$S$16)-'Δρομολόγια'!$R$16,"")</f>
        <v/>
      </c>
      <c r="M72" s="20">
        <f>IF('Δρομολόγια'!$P$17,ROUND(ROUND('Δρομολόγια'!$F$17*100,0)*(100-$A72)/100,0)/100*(1-'Δρομολόγια'!$S$17)-'Δρομολόγια'!$R$17,"")</f>
        <v/>
      </c>
      <c r="N72" s="20">
        <f>IF('Δρομολόγια'!$P$18,ROUND(ROUND('Δρομολόγια'!$F$18*100,0)*(100-$A72)/100,0)/100*(1-'Δρομολόγια'!$S$18)-'Δρομολόγια'!$R$18,"")</f>
        <v/>
      </c>
      <c r="O72" s="20">
        <f>IF('Δρομολόγια'!$P$19,ROUND(ROUND('Δρομολόγια'!$F$19*100,0)*(100-$A72)/100,0)/100*(1-'Δρομολόγια'!$S$19)-'Δρομολόγια'!$R$19,"")</f>
        <v/>
      </c>
      <c r="P72" s="20">
        <f>IF('Δρομολόγια'!$P$20,ROUND(ROUND('Δρομολόγια'!$F$20*100,0)*(100-$A72)/100,0)/100*(1-'Δρομολόγια'!$S$20)-'Δρομολόγια'!$R$20,"")</f>
        <v/>
      </c>
      <c r="Q72" t="inlineStr">
        <is>
          <t>εξήντα έξι</t>
        </is>
      </c>
    </row>
    <row r="73">
      <c r="A73" t="n">
        <v>67</v>
      </c>
      <c r="B73" s="20">
        <f>IF('Δρομολόγια'!$P$6,ROUND(ROUND('Δρομολόγια'!$F$6*100,0)*(100-$A73)/100,0)/100*(1-'Δρομολόγια'!$S$6)-'Δρομολόγια'!$R$6,"")</f>
        <v/>
      </c>
      <c r="C73" s="20">
        <f>IF('Δρομολόγια'!$P$7,ROUND(ROUND('Δρομολόγια'!$F$7*100,0)*(100-$A73)/100,0)/100*(1-'Δρομολόγια'!$S$7)-'Δρομολόγια'!$R$7,"")</f>
        <v/>
      </c>
      <c r="D73" s="20">
        <f>IF('Δρομολόγια'!$P$8,ROUND(ROUND('Δρομολόγια'!$F$8*100,0)*(100-$A73)/100,0)/100*(1-'Δρομολόγια'!$S$8)-'Δρομολόγια'!$R$8,"")</f>
        <v/>
      </c>
      <c r="E73" s="20">
        <f>IF('Δρομολόγια'!$P$9,ROUND(ROUND('Δρομολόγια'!$F$9*100,0)*(100-$A73)/100,0)/100*(1-'Δρομολόγια'!$S$9)-'Δρομολόγια'!$R$9,"")</f>
        <v/>
      </c>
      <c r="F73" s="20">
        <f>IF('Δρομολόγια'!$P$10,ROUND(ROUND('Δρομολόγια'!$F$10*100,0)*(100-$A73)/100,0)/100*(1-'Δρομολόγια'!$S$10)-'Δρομολόγια'!$R$10,"")</f>
        <v/>
      </c>
      <c r="G73" s="20">
        <f>IF('Δρομολόγια'!$P$11,ROUND(ROUND('Δρομολόγια'!$F$11*100,0)*(100-$A73)/100,0)/100*(1-'Δρομολόγια'!$S$11)-'Δρομολόγια'!$R$11,"")</f>
        <v/>
      </c>
      <c r="H73" s="20">
        <f>IF('Δρομολόγια'!$P$12,ROUND(ROUND('Δρομολόγια'!$F$12*100,0)*(100-$A73)/100,0)/100*(1-'Δρομολόγια'!$S$12)-'Δρομολόγια'!$R$12,"")</f>
        <v/>
      </c>
      <c r="I73" s="20">
        <f>IF('Δρομολόγια'!$P$13,ROUND(ROUND('Δρομολόγια'!$F$13*100,0)*(100-$A73)/100,0)/100*(1-'Δρομολόγια'!$S$13)-'Δρομολόγια'!$R$13,"")</f>
        <v/>
      </c>
      <c r="J73" s="20">
        <f>IF('Δρομολόγια'!$P$14,ROUND(ROUND('Δρομολόγια'!$F$14*100,0)*(100-$A73)/100,0)/100*(1-'Δρομολόγια'!$S$14)-'Δρομολόγια'!$R$14,"")</f>
        <v/>
      </c>
      <c r="K73" s="20">
        <f>IF('Δρομολόγια'!$P$15,ROUND(ROUND('Δρομολόγια'!$F$15*100,0)*(100-$A73)/100,0)/100*(1-'Δρομολόγια'!$S$15)-'Δρομολόγια'!$R$15,"")</f>
        <v/>
      </c>
      <c r="L73" s="20">
        <f>IF('Δρομολόγια'!$P$16,ROUND(ROUND('Δρομολόγια'!$F$16*100,0)*(100-$A73)/100,0)/100*(1-'Δρομολόγια'!$S$16)-'Δρομολόγια'!$R$16,"")</f>
        <v/>
      </c>
      <c r="M73" s="20">
        <f>IF('Δρομολόγια'!$P$17,ROUND(ROUND('Δρομολόγια'!$F$17*100,0)*(100-$A73)/100,0)/100*(1-'Δρομολόγια'!$S$17)-'Δρομολόγια'!$R$17,"")</f>
        <v/>
      </c>
      <c r="N73" s="20">
        <f>IF('Δρομολόγια'!$P$18,ROUND(ROUND('Δρομολόγια'!$F$18*100,0)*(100-$A73)/100,0)/100*(1-'Δρομολόγια'!$S$18)-'Δρομολόγια'!$R$18,"")</f>
        <v/>
      </c>
      <c r="O73" s="20">
        <f>IF('Δρομολόγια'!$P$19,ROUND(ROUND('Δρομολόγια'!$F$19*100,0)*(100-$A73)/100,0)/100*(1-'Δρομολόγια'!$S$19)-'Δρομολόγια'!$R$19,"")</f>
        <v/>
      </c>
      <c r="P73" s="20">
        <f>IF('Δρομολόγια'!$P$20,ROUND(ROUND('Δρομολόγια'!$F$20*100,0)*(100-$A73)/100,0)/100*(1-'Δρομολόγια'!$S$20)-'Δρομολόγια'!$R$20,"")</f>
        <v/>
      </c>
      <c r="Q73" t="inlineStr">
        <is>
          <t>εξήντα επτά</t>
        </is>
      </c>
    </row>
    <row r="74">
      <c r="A74" t="n">
        <v>68</v>
      </c>
      <c r="B74" s="20">
        <f>IF('Δρομολόγια'!$P$6,ROUND(ROUND('Δρομολόγια'!$F$6*100,0)*(100-$A74)/100,0)/100*(1-'Δρομολόγια'!$S$6)-'Δρομολόγια'!$R$6,"")</f>
        <v/>
      </c>
      <c r="C74" s="20">
        <f>IF('Δρομολόγια'!$P$7,ROUND(ROUND('Δρομολόγια'!$F$7*100,0)*(100-$A74)/100,0)/100*(1-'Δρομολόγια'!$S$7)-'Δρομολόγια'!$R$7,"")</f>
        <v/>
      </c>
      <c r="D74" s="20">
        <f>IF('Δρομολόγια'!$P$8,ROUND(ROUND('Δρομολόγια'!$F$8*100,0)*(100-$A74)/100,0)/100*(1-'Δρομολόγια'!$S$8)-'Δρομολόγια'!$R$8,"")</f>
        <v/>
      </c>
      <c r="E74" s="20">
        <f>IF('Δρομολόγια'!$P$9,ROUND(ROUND('Δρομολόγια'!$F$9*100,0)*(100-$A74)/100,0)/100*(1-'Δρομολόγια'!$S$9)-'Δρομολόγια'!$R$9,"")</f>
        <v/>
      </c>
      <c r="F74" s="20">
        <f>IF('Δρομολόγια'!$P$10,ROUND(ROUND('Δρομολόγια'!$F$10*100,0)*(100-$A74)/100,0)/100*(1-'Δρομολόγια'!$S$10)-'Δρομολόγια'!$R$10,"")</f>
        <v/>
      </c>
      <c r="G74" s="20">
        <f>IF('Δρομολόγια'!$P$11,ROUND(ROUND('Δρομολόγια'!$F$11*100,0)*(100-$A74)/100,0)/100*(1-'Δρομολόγια'!$S$11)-'Δρομολόγια'!$R$11,"")</f>
        <v/>
      </c>
      <c r="H74" s="20">
        <f>IF('Δρομολόγια'!$P$12,ROUND(ROUND('Δρομολόγια'!$F$12*100,0)*(100-$A74)/100,0)/100*(1-'Δρομολόγια'!$S$12)-'Δρομολόγια'!$R$12,"")</f>
        <v/>
      </c>
      <c r="I74" s="20">
        <f>IF('Δρομολόγια'!$P$13,ROUND(ROUND('Δρομολόγια'!$F$13*100,0)*(100-$A74)/100,0)/100*(1-'Δρομολόγια'!$S$13)-'Δρομολόγια'!$R$13,"")</f>
        <v/>
      </c>
      <c r="J74" s="20">
        <f>IF('Δρομολόγια'!$P$14,ROUND(ROUND('Δρομολόγια'!$F$14*100,0)*(100-$A74)/100,0)/100*(1-'Δρομολόγια'!$S$14)-'Δρομολόγια'!$R$14,"")</f>
        <v/>
      </c>
      <c r="K74" s="20">
        <f>IF('Δρομολόγια'!$P$15,ROUND(ROUND('Δρομολόγια'!$F$15*100,0)*(100-$A74)/100,0)/100*(1-'Δρομολόγια'!$S$15)-'Δρομολόγια'!$R$15,"")</f>
        <v/>
      </c>
      <c r="L74" s="20">
        <f>IF('Δρομολόγια'!$P$16,ROUND(ROUND('Δρομολόγια'!$F$16*100,0)*(100-$A74)/100,0)/100*(1-'Δρομολόγια'!$S$16)-'Δρομολόγια'!$R$16,"")</f>
        <v/>
      </c>
      <c r="M74" s="20">
        <f>IF('Δρομολόγια'!$P$17,ROUND(ROUND('Δρομολόγια'!$F$17*100,0)*(100-$A74)/100,0)/100*(1-'Δρομολόγια'!$S$17)-'Δρομολόγια'!$R$17,"")</f>
        <v/>
      </c>
      <c r="N74" s="20">
        <f>IF('Δρομολόγια'!$P$18,ROUND(ROUND('Δρομολόγια'!$F$18*100,0)*(100-$A74)/100,0)/100*(1-'Δρομολόγια'!$S$18)-'Δρομολόγια'!$R$18,"")</f>
        <v/>
      </c>
      <c r="O74" s="20">
        <f>IF('Δρομολόγια'!$P$19,ROUND(ROUND('Δρομολόγια'!$F$19*100,0)*(100-$A74)/100,0)/100*(1-'Δρομολόγια'!$S$19)-'Δρομολόγια'!$R$19,"")</f>
        <v/>
      </c>
      <c r="P74" s="20">
        <f>IF('Δρομολόγια'!$P$20,ROUND(ROUND('Δρομολόγια'!$F$20*100,0)*(100-$A74)/100,0)/100*(1-'Δρομολόγια'!$S$20)-'Δρομολόγια'!$R$20,"")</f>
        <v/>
      </c>
      <c r="Q74" t="inlineStr">
        <is>
          <t>εξήντα οκτώ</t>
        </is>
      </c>
    </row>
    <row r="75">
      <c r="A75" t="n">
        <v>69</v>
      </c>
      <c r="B75" s="20">
        <f>IF('Δρομολόγια'!$P$6,ROUND(ROUND('Δρομολόγια'!$F$6*100,0)*(100-$A75)/100,0)/100*(1-'Δρομολόγια'!$S$6)-'Δρομολόγια'!$R$6,"")</f>
        <v/>
      </c>
      <c r="C75" s="20">
        <f>IF('Δρομολόγια'!$P$7,ROUND(ROUND('Δρομολόγια'!$F$7*100,0)*(100-$A75)/100,0)/100*(1-'Δρομολόγια'!$S$7)-'Δρομολόγια'!$R$7,"")</f>
        <v/>
      </c>
      <c r="D75" s="20">
        <f>IF('Δρομολόγια'!$P$8,ROUND(ROUND('Δρομολόγια'!$F$8*100,0)*(100-$A75)/100,0)/100*(1-'Δρομολόγια'!$S$8)-'Δρομολόγια'!$R$8,"")</f>
        <v/>
      </c>
      <c r="E75" s="20">
        <f>IF('Δρομολόγια'!$P$9,ROUND(ROUND('Δρομολόγια'!$F$9*100,0)*(100-$A75)/100,0)/100*(1-'Δρομολόγια'!$S$9)-'Δρομολόγια'!$R$9,"")</f>
        <v/>
      </c>
      <c r="F75" s="20">
        <f>IF('Δρομολόγια'!$P$10,ROUND(ROUND('Δρομολόγια'!$F$10*100,0)*(100-$A75)/100,0)/100*(1-'Δρομολόγια'!$S$10)-'Δρομολόγια'!$R$10,"")</f>
        <v/>
      </c>
      <c r="G75" s="20">
        <f>IF('Δρομολόγια'!$P$11,ROUND(ROUND('Δρομολόγια'!$F$11*100,0)*(100-$A75)/100,0)/100*(1-'Δρομολόγια'!$S$11)-'Δρομολόγια'!$R$11,"")</f>
        <v/>
      </c>
      <c r="H75" s="20">
        <f>IF('Δρομολόγια'!$P$12,ROUND(ROUND('Δρομολόγια'!$F$12*100,0)*(100-$A75)/100,0)/100*(1-'Δρομολόγια'!$S$12)-'Δρομολόγια'!$R$12,"")</f>
        <v/>
      </c>
      <c r="I75" s="20">
        <f>IF('Δρομολόγια'!$P$13,ROUND(ROUND('Δρομολόγια'!$F$13*100,0)*(100-$A75)/100,0)/100*(1-'Δρομολόγια'!$S$13)-'Δρομολόγια'!$R$13,"")</f>
        <v/>
      </c>
      <c r="J75" s="20">
        <f>IF('Δρομολόγια'!$P$14,ROUND(ROUND('Δρομολόγια'!$F$14*100,0)*(100-$A75)/100,0)/100*(1-'Δρομολόγια'!$S$14)-'Δρομολόγια'!$R$14,"")</f>
        <v/>
      </c>
      <c r="K75" s="20">
        <f>IF('Δρομολόγια'!$P$15,ROUND(ROUND('Δρομολόγια'!$F$15*100,0)*(100-$A75)/100,0)/100*(1-'Δρομολόγια'!$S$15)-'Δρομολόγια'!$R$15,"")</f>
        <v/>
      </c>
      <c r="L75" s="20">
        <f>IF('Δρομολόγια'!$P$16,ROUND(ROUND('Δρομολόγια'!$F$16*100,0)*(100-$A75)/100,0)/100*(1-'Δρομολόγια'!$S$16)-'Δρομολόγια'!$R$16,"")</f>
        <v/>
      </c>
      <c r="M75" s="20">
        <f>IF('Δρομολόγια'!$P$17,ROUND(ROUND('Δρομολόγια'!$F$17*100,0)*(100-$A75)/100,0)/100*(1-'Δρομολόγια'!$S$17)-'Δρομολόγια'!$R$17,"")</f>
        <v/>
      </c>
      <c r="N75" s="20">
        <f>IF('Δρομολόγια'!$P$18,ROUND(ROUND('Δρομολόγια'!$F$18*100,0)*(100-$A75)/100,0)/100*(1-'Δρομολόγια'!$S$18)-'Δρομολόγια'!$R$18,"")</f>
        <v/>
      </c>
      <c r="O75" s="20">
        <f>IF('Δρομολόγια'!$P$19,ROUND(ROUND('Δρομολόγια'!$F$19*100,0)*(100-$A75)/100,0)/100*(1-'Δρομολόγια'!$S$19)-'Δρομολόγια'!$R$19,"")</f>
        <v/>
      </c>
      <c r="P75" s="20">
        <f>IF('Δρομολόγια'!$P$20,ROUND(ROUND('Δρομολόγια'!$F$20*100,0)*(100-$A75)/100,0)/100*(1-'Δρομολόγια'!$S$20)-'Δρομολόγια'!$R$20,"")</f>
        <v/>
      </c>
      <c r="Q75" t="inlineStr">
        <is>
          <t>εξήντα εννέα</t>
        </is>
      </c>
    </row>
    <row r="76">
      <c r="A76" t="n">
        <v>70</v>
      </c>
      <c r="B76" s="20">
        <f>IF('Δρομολόγια'!$P$6,ROUND(ROUND('Δρομολόγια'!$F$6*100,0)*(100-$A76)/100,0)/100*(1-'Δρομολόγια'!$S$6)-'Δρομολόγια'!$R$6,"")</f>
        <v/>
      </c>
      <c r="C76" s="20">
        <f>IF('Δρομολόγια'!$P$7,ROUND(ROUND('Δρομολόγια'!$F$7*100,0)*(100-$A76)/100,0)/100*(1-'Δρομολόγια'!$S$7)-'Δρομολόγια'!$R$7,"")</f>
        <v/>
      </c>
      <c r="D76" s="20">
        <f>IF('Δρομολόγια'!$P$8,ROUND(ROUND('Δρομολόγια'!$F$8*100,0)*(100-$A76)/100,0)/100*(1-'Δρομολόγια'!$S$8)-'Δρομολόγια'!$R$8,"")</f>
        <v/>
      </c>
      <c r="E76" s="20">
        <f>IF('Δρομολόγια'!$P$9,ROUND(ROUND('Δρομολόγια'!$F$9*100,0)*(100-$A76)/100,0)/100*(1-'Δρομολόγια'!$S$9)-'Δρομολόγια'!$R$9,"")</f>
        <v/>
      </c>
      <c r="F76" s="20">
        <f>IF('Δρομολόγια'!$P$10,ROUND(ROUND('Δρομολόγια'!$F$10*100,0)*(100-$A76)/100,0)/100*(1-'Δρομολόγια'!$S$10)-'Δρομολόγια'!$R$10,"")</f>
        <v/>
      </c>
      <c r="G76" s="20">
        <f>IF('Δρομολόγια'!$P$11,ROUND(ROUND('Δρομολόγια'!$F$11*100,0)*(100-$A76)/100,0)/100*(1-'Δρομολόγια'!$S$11)-'Δρομολόγια'!$R$11,"")</f>
        <v/>
      </c>
      <c r="H76" s="20">
        <f>IF('Δρομολόγια'!$P$12,ROUND(ROUND('Δρομολόγια'!$F$12*100,0)*(100-$A76)/100,0)/100*(1-'Δρομολόγια'!$S$12)-'Δρομολόγια'!$R$12,"")</f>
        <v/>
      </c>
      <c r="I76" s="20">
        <f>IF('Δρομολόγια'!$P$13,ROUND(ROUND('Δρομολόγια'!$F$13*100,0)*(100-$A76)/100,0)/100*(1-'Δρομολόγια'!$S$13)-'Δρομολόγια'!$R$13,"")</f>
        <v/>
      </c>
      <c r="J76" s="20">
        <f>IF('Δρομολόγια'!$P$14,ROUND(ROUND('Δρομολόγια'!$F$14*100,0)*(100-$A76)/100,0)/100*(1-'Δρομολόγια'!$S$14)-'Δρομολόγια'!$R$14,"")</f>
        <v/>
      </c>
      <c r="K76" s="20">
        <f>IF('Δρομολόγια'!$P$15,ROUND(ROUND('Δρομολόγια'!$F$15*100,0)*(100-$A76)/100,0)/100*(1-'Δρομολόγια'!$S$15)-'Δρομολόγια'!$R$15,"")</f>
        <v/>
      </c>
      <c r="L76" s="20">
        <f>IF('Δρομολόγια'!$P$16,ROUND(ROUND('Δρομολόγια'!$F$16*100,0)*(100-$A76)/100,0)/100*(1-'Δρομολόγια'!$S$16)-'Δρομολόγια'!$R$16,"")</f>
        <v/>
      </c>
      <c r="M76" s="20">
        <f>IF('Δρομολόγια'!$P$17,ROUND(ROUND('Δρομολόγια'!$F$17*100,0)*(100-$A76)/100,0)/100*(1-'Δρομολόγια'!$S$17)-'Δρομολόγια'!$R$17,"")</f>
        <v/>
      </c>
      <c r="N76" s="20">
        <f>IF('Δρομολόγια'!$P$18,ROUND(ROUND('Δρομολόγια'!$F$18*100,0)*(100-$A76)/100,0)/100*(1-'Δρομολόγια'!$S$18)-'Δρομολόγια'!$R$18,"")</f>
        <v/>
      </c>
      <c r="O76" s="20">
        <f>IF('Δρομολόγια'!$P$19,ROUND(ROUND('Δρομολόγια'!$F$19*100,0)*(100-$A76)/100,0)/100*(1-'Δρομολόγια'!$S$19)-'Δρομολόγια'!$R$19,"")</f>
        <v/>
      </c>
      <c r="P76" s="20">
        <f>IF('Δρομολόγια'!$P$20,ROUND(ROUND('Δρομολόγια'!$F$20*100,0)*(100-$A76)/100,0)/100*(1-'Δρομολόγια'!$S$20)-'Δρομολόγια'!$R$20,"")</f>
        <v/>
      </c>
      <c r="Q76" t="inlineStr">
        <is>
          <t>εβδομήντα</t>
        </is>
      </c>
    </row>
    <row r="77">
      <c r="A77" t="n">
        <v>71</v>
      </c>
      <c r="B77" s="20">
        <f>IF('Δρομολόγια'!$P$6,ROUND(ROUND('Δρομολόγια'!$F$6*100,0)*(100-$A77)/100,0)/100*(1-'Δρομολόγια'!$S$6)-'Δρομολόγια'!$R$6,"")</f>
        <v/>
      </c>
      <c r="C77" s="20">
        <f>IF('Δρομολόγια'!$P$7,ROUND(ROUND('Δρομολόγια'!$F$7*100,0)*(100-$A77)/100,0)/100*(1-'Δρομολόγια'!$S$7)-'Δρομολόγια'!$R$7,"")</f>
        <v/>
      </c>
      <c r="D77" s="20">
        <f>IF('Δρομολόγια'!$P$8,ROUND(ROUND('Δρομολόγια'!$F$8*100,0)*(100-$A77)/100,0)/100*(1-'Δρομολόγια'!$S$8)-'Δρομολόγια'!$R$8,"")</f>
        <v/>
      </c>
      <c r="E77" s="20">
        <f>IF('Δρομολόγια'!$P$9,ROUND(ROUND('Δρομολόγια'!$F$9*100,0)*(100-$A77)/100,0)/100*(1-'Δρομολόγια'!$S$9)-'Δρομολόγια'!$R$9,"")</f>
        <v/>
      </c>
      <c r="F77" s="20">
        <f>IF('Δρομολόγια'!$P$10,ROUND(ROUND('Δρομολόγια'!$F$10*100,0)*(100-$A77)/100,0)/100*(1-'Δρομολόγια'!$S$10)-'Δρομολόγια'!$R$10,"")</f>
        <v/>
      </c>
      <c r="G77" s="20">
        <f>IF('Δρομολόγια'!$P$11,ROUND(ROUND('Δρομολόγια'!$F$11*100,0)*(100-$A77)/100,0)/100*(1-'Δρομολόγια'!$S$11)-'Δρομολόγια'!$R$11,"")</f>
        <v/>
      </c>
      <c r="H77" s="20">
        <f>IF('Δρομολόγια'!$P$12,ROUND(ROUND('Δρομολόγια'!$F$12*100,0)*(100-$A77)/100,0)/100*(1-'Δρομολόγια'!$S$12)-'Δρομολόγια'!$R$12,"")</f>
        <v/>
      </c>
      <c r="I77" s="20">
        <f>IF('Δρομολόγια'!$P$13,ROUND(ROUND('Δρομολόγια'!$F$13*100,0)*(100-$A77)/100,0)/100*(1-'Δρομολόγια'!$S$13)-'Δρομολόγια'!$R$13,"")</f>
        <v/>
      </c>
      <c r="J77" s="20">
        <f>IF('Δρομολόγια'!$P$14,ROUND(ROUND('Δρομολόγια'!$F$14*100,0)*(100-$A77)/100,0)/100*(1-'Δρομολόγια'!$S$14)-'Δρομολόγια'!$R$14,"")</f>
        <v/>
      </c>
      <c r="K77" s="20">
        <f>IF('Δρομολόγια'!$P$15,ROUND(ROUND('Δρομολόγια'!$F$15*100,0)*(100-$A77)/100,0)/100*(1-'Δρομολόγια'!$S$15)-'Δρομολόγια'!$R$15,"")</f>
        <v/>
      </c>
      <c r="L77" s="20">
        <f>IF('Δρομολόγια'!$P$16,ROUND(ROUND('Δρομολόγια'!$F$16*100,0)*(100-$A77)/100,0)/100*(1-'Δρομολόγια'!$S$16)-'Δρομολόγια'!$R$16,"")</f>
        <v/>
      </c>
      <c r="M77" s="20">
        <f>IF('Δρομολόγια'!$P$17,ROUND(ROUND('Δρομολόγια'!$F$17*100,0)*(100-$A77)/100,0)/100*(1-'Δρομολόγια'!$S$17)-'Δρομολόγια'!$R$17,"")</f>
        <v/>
      </c>
      <c r="N77" s="20">
        <f>IF('Δρομολόγια'!$P$18,ROUND(ROUND('Δρομολόγια'!$F$18*100,0)*(100-$A77)/100,0)/100*(1-'Δρομολόγια'!$S$18)-'Δρομολόγια'!$R$18,"")</f>
        <v/>
      </c>
      <c r="O77" s="20">
        <f>IF('Δρομολόγια'!$P$19,ROUND(ROUND('Δρομολόγια'!$F$19*100,0)*(100-$A77)/100,0)/100*(1-'Δρομολόγια'!$S$19)-'Δρομολόγια'!$R$19,"")</f>
        <v/>
      </c>
      <c r="P77" s="20">
        <f>IF('Δρομολόγια'!$P$20,ROUND(ROUND('Δρομολόγια'!$F$20*100,0)*(100-$A77)/100,0)/100*(1-'Δρομολόγια'!$S$20)-'Δρομολόγια'!$R$20,"")</f>
        <v/>
      </c>
      <c r="Q77" t="inlineStr">
        <is>
          <t>εβδομήντα ένα</t>
        </is>
      </c>
    </row>
    <row r="78">
      <c r="A78" t="n">
        <v>72</v>
      </c>
      <c r="B78" s="20">
        <f>IF('Δρομολόγια'!$P$6,ROUND(ROUND('Δρομολόγια'!$F$6*100,0)*(100-$A78)/100,0)/100*(1-'Δρομολόγια'!$S$6)-'Δρομολόγια'!$R$6,"")</f>
        <v/>
      </c>
      <c r="C78" s="20">
        <f>IF('Δρομολόγια'!$P$7,ROUND(ROUND('Δρομολόγια'!$F$7*100,0)*(100-$A78)/100,0)/100*(1-'Δρομολόγια'!$S$7)-'Δρομολόγια'!$R$7,"")</f>
        <v/>
      </c>
      <c r="D78" s="20">
        <f>IF('Δρομολόγια'!$P$8,ROUND(ROUND('Δρομολόγια'!$F$8*100,0)*(100-$A78)/100,0)/100*(1-'Δρομολόγια'!$S$8)-'Δρομολόγια'!$R$8,"")</f>
        <v/>
      </c>
      <c r="E78" s="20">
        <f>IF('Δρομολόγια'!$P$9,ROUND(ROUND('Δρομολόγια'!$F$9*100,0)*(100-$A78)/100,0)/100*(1-'Δρομολόγια'!$S$9)-'Δρομολόγια'!$R$9,"")</f>
        <v/>
      </c>
      <c r="F78" s="20">
        <f>IF('Δρομολόγια'!$P$10,ROUND(ROUND('Δρομολόγια'!$F$10*100,0)*(100-$A78)/100,0)/100*(1-'Δρομολόγια'!$S$10)-'Δρομολόγια'!$R$10,"")</f>
        <v/>
      </c>
      <c r="G78" s="20">
        <f>IF('Δρομολόγια'!$P$11,ROUND(ROUND('Δρομολόγια'!$F$11*100,0)*(100-$A78)/100,0)/100*(1-'Δρομολόγια'!$S$11)-'Δρομολόγια'!$R$11,"")</f>
        <v/>
      </c>
      <c r="H78" s="20">
        <f>IF('Δρομολόγια'!$P$12,ROUND(ROUND('Δρομολόγια'!$F$12*100,0)*(100-$A78)/100,0)/100*(1-'Δρομολόγια'!$S$12)-'Δρομολόγια'!$R$12,"")</f>
        <v/>
      </c>
      <c r="I78" s="20">
        <f>IF('Δρομολόγια'!$P$13,ROUND(ROUND('Δρομολόγια'!$F$13*100,0)*(100-$A78)/100,0)/100*(1-'Δρομολόγια'!$S$13)-'Δρομολόγια'!$R$13,"")</f>
        <v/>
      </c>
      <c r="J78" s="20">
        <f>IF('Δρομολόγια'!$P$14,ROUND(ROUND('Δρομολόγια'!$F$14*100,0)*(100-$A78)/100,0)/100*(1-'Δρομολόγια'!$S$14)-'Δρομολόγια'!$R$14,"")</f>
        <v/>
      </c>
      <c r="K78" s="20">
        <f>IF('Δρομολόγια'!$P$15,ROUND(ROUND('Δρομολόγια'!$F$15*100,0)*(100-$A78)/100,0)/100*(1-'Δρομολόγια'!$S$15)-'Δρομολόγια'!$R$15,"")</f>
        <v/>
      </c>
      <c r="L78" s="20">
        <f>IF('Δρομολόγια'!$P$16,ROUND(ROUND('Δρομολόγια'!$F$16*100,0)*(100-$A78)/100,0)/100*(1-'Δρομολόγια'!$S$16)-'Δρομολόγια'!$R$16,"")</f>
        <v/>
      </c>
      <c r="M78" s="20">
        <f>IF('Δρομολόγια'!$P$17,ROUND(ROUND('Δρομολόγια'!$F$17*100,0)*(100-$A78)/100,0)/100*(1-'Δρομολόγια'!$S$17)-'Δρομολόγια'!$R$17,"")</f>
        <v/>
      </c>
      <c r="N78" s="20">
        <f>IF('Δρομολόγια'!$P$18,ROUND(ROUND('Δρομολόγια'!$F$18*100,0)*(100-$A78)/100,0)/100*(1-'Δρομολόγια'!$S$18)-'Δρομολόγια'!$R$18,"")</f>
        <v/>
      </c>
      <c r="O78" s="20">
        <f>IF('Δρομολόγια'!$P$19,ROUND(ROUND('Δρομολόγια'!$F$19*100,0)*(100-$A78)/100,0)/100*(1-'Δρομολόγια'!$S$19)-'Δρομολόγια'!$R$19,"")</f>
        <v/>
      </c>
      <c r="P78" s="20">
        <f>IF('Δρομολόγια'!$P$20,ROUND(ROUND('Δρομολόγια'!$F$20*100,0)*(100-$A78)/100,0)/100*(1-'Δρομολόγια'!$S$20)-'Δρομολόγια'!$R$20,"")</f>
        <v/>
      </c>
      <c r="Q78" t="inlineStr">
        <is>
          <t>εβδομήντα δύο</t>
        </is>
      </c>
    </row>
    <row r="79">
      <c r="A79" t="n">
        <v>73</v>
      </c>
      <c r="B79" s="20">
        <f>IF('Δρομολόγια'!$P$6,ROUND(ROUND('Δρομολόγια'!$F$6*100,0)*(100-$A79)/100,0)/100*(1-'Δρομολόγια'!$S$6)-'Δρομολόγια'!$R$6,"")</f>
        <v/>
      </c>
      <c r="C79" s="20">
        <f>IF('Δρομολόγια'!$P$7,ROUND(ROUND('Δρομολόγια'!$F$7*100,0)*(100-$A79)/100,0)/100*(1-'Δρομολόγια'!$S$7)-'Δρομολόγια'!$R$7,"")</f>
        <v/>
      </c>
      <c r="D79" s="20">
        <f>IF('Δρομολόγια'!$P$8,ROUND(ROUND('Δρομολόγια'!$F$8*100,0)*(100-$A79)/100,0)/100*(1-'Δρομολόγια'!$S$8)-'Δρομολόγια'!$R$8,"")</f>
        <v/>
      </c>
      <c r="E79" s="20">
        <f>IF('Δρομολόγια'!$P$9,ROUND(ROUND('Δρομολόγια'!$F$9*100,0)*(100-$A79)/100,0)/100*(1-'Δρομολόγια'!$S$9)-'Δρομολόγια'!$R$9,"")</f>
        <v/>
      </c>
      <c r="F79" s="20">
        <f>IF('Δρομολόγια'!$P$10,ROUND(ROUND('Δρομολόγια'!$F$10*100,0)*(100-$A79)/100,0)/100*(1-'Δρομολόγια'!$S$10)-'Δρομολόγια'!$R$10,"")</f>
        <v/>
      </c>
      <c r="G79" s="20">
        <f>IF('Δρομολόγια'!$P$11,ROUND(ROUND('Δρομολόγια'!$F$11*100,0)*(100-$A79)/100,0)/100*(1-'Δρομολόγια'!$S$11)-'Δρομολόγια'!$R$11,"")</f>
        <v/>
      </c>
      <c r="H79" s="20">
        <f>IF('Δρομολόγια'!$P$12,ROUND(ROUND('Δρομολόγια'!$F$12*100,0)*(100-$A79)/100,0)/100*(1-'Δρομολόγια'!$S$12)-'Δρομολόγια'!$R$12,"")</f>
        <v/>
      </c>
      <c r="I79" s="20">
        <f>IF('Δρομολόγια'!$P$13,ROUND(ROUND('Δρομολόγια'!$F$13*100,0)*(100-$A79)/100,0)/100*(1-'Δρομολόγια'!$S$13)-'Δρομολόγια'!$R$13,"")</f>
        <v/>
      </c>
      <c r="J79" s="20">
        <f>IF('Δρομολόγια'!$P$14,ROUND(ROUND('Δρομολόγια'!$F$14*100,0)*(100-$A79)/100,0)/100*(1-'Δρομολόγια'!$S$14)-'Δρομολόγια'!$R$14,"")</f>
        <v/>
      </c>
      <c r="K79" s="20">
        <f>IF('Δρομολόγια'!$P$15,ROUND(ROUND('Δρομολόγια'!$F$15*100,0)*(100-$A79)/100,0)/100*(1-'Δρομολόγια'!$S$15)-'Δρομολόγια'!$R$15,"")</f>
        <v/>
      </c>
      <c r="L79" s="20">
        <f>IF('Δρομολόγια'!$P$16,ROUND(ROUND('Δρομολόγια'!$F$16*100,0)*(100-$A79)/100,0)/100*(1-'Δρομολόγια'!$S$16)-'Δρομολόγια'!$R$16,"")</f>
        <v/>
      </c>
      <c r="M79" s="20">
        <f>IF('Δρομολόγια'!$P$17,ROUND(ROUND('Δρομολόγια'!$F$17*100,0)*(100-$A79)/100,0)/100*(1-'Δρομολόγια'!$S$17)-'Δρομολόγια'!$R$17,"")</f>
        <v/>
      </c>
      <c r="N79" s="20">
        <f>IF('Δρομολόγια'!$P$18,ROUND(ROUND('Δρομολόγια'!$F$18*100,0)*(100-$A79)/100,0)/100*(1-'Δρομολόγια'!$S$18)-'Δρομολόγια'!$R$18,"")</f>
        <v/>
      </c>
      <c r="O79" s="20">
        <f>IF('Δρομολόγια'!$P$19,ROUND(ROUND('Δρομολόγια'!$F$19*100,0)*(100-$A79)/100,0)/100*(1-'Δρομολόγια'!$S$19)-'Δρομολόγια'!$R$19,"")</f>
        <v/>
      </c>
      <c r="P79" s="20">
        <f>IF('Δρομολόγια'!$P$20,ROUND(ROUND('Δρομολόγια'!$F$20*100,0)*(100-$A79)/100,0)/100*(1-'Δρομολόγια'!$S$20)-'Δρομολόγια'!$R$20,"")</f>
        <v/>
      </c>
      <c r="Q79" t="inlineStr">
        <is>
          <t>εβδομήντα τρία</t>
        </is>
      </c>
    </row>
    <row r="80">
      <c r="A80" t="n">
        <v>74</v>
      </c>
      <c r="B80" s="20">
        <f>IF('Δρομολόγια'!$P$6,ROUND(ROUND('Δρομολόγια'!$F$6*100,0)*(100-$A80)/100,0)/100*(1-'Δρομολόγια'!$S$6)-'Δρομολόγια'!$R$6,"")</f>
        <v/>
      </c>
      <c r="C80" s="20">
        <f>IF('Δρομολόγια'!$P$7,ROUND(ROUND('Δρομολόγια'!$F$7*100,0)*(100-$A80)/100,0)/100*(1-'Δρομολόγια'!$S$7)-'Δρομολόγια'!$R$7,"")</f>
        <v/>
      </c>
      <c r="D80" s="20">
        <f>IF('Δρομολόγια'!$P$8,ROUND(ROUND('Δρομολόγια'!$F$8*100,0)*(100-$A80)/100,0)/100*(1-'Δρομολόγια'!$S$8)-'Δρομολόγια'!$R$8,"")</f>
        <v/>
      </c>
      <c r="E80" s="20">
        <f>IF('Δρομολόγια'!$P$9,ROUND(ROUND('Δρομολόγια'!$F$9*100,0)*(100-$A80)/100,0)/100*(1-'Δρομολόγια'!$S$9)-'Δρομολόγια'!$R$9,"")</f>
        <v/>
      </c>
      <c r="F80" s="20">
        <f>IF('Δρομολόγια'!$P$10,ROUND(ROUND('Δρομολόγια'!$F$10*100,0)*(100-$A80)/100,0)/100*(1-'Δρομολόγια'!$S$10)-'Δρομολόγια'!$R$10,"")</f>
        <v/>
      </c>
      <c r="G80" s="20">
        <f>IF('Δρομολόγια'!$P$11,ROUND(ROUND('Δρομολόγια'!$F$11*100,0)*(100-$A80)/100,0)/100*(1-'Δρομολόγια'!$S$11)-'Δρομολόγια'!$R$11,"")</f>
        <v/>
      </c>
      <c r="H80" s="20">
        <f>IF('Δρομολόγια'!$P$12,ROUND(ROUND('Δρομολόγια'!$F$12*100,0)*(100-$A80)/100,0)/100*(1-'Δρομολόγια'!$S$12)-'Δρομολόγια'!$R$12,"")</f>
        <v/>
      </c>
      <c r="I80" s="20">
        <f>IF('Δρομολόγια'!$P$13,ROUND(ROUND('Δρομολόγια'!$F$13*100,0)*(100-$A80)/100,0)/100*(1-'Δρομολόγια'!$S$13)-'Δρομολόγια'!$R$13,"")</f>
        <v/>
      </c>
      <c r="J80" s="20">
        <f>IF('Δρομολόγια'!$P$14,ROUND(ROUND('Δρομολόγια'!$F$14*100,0)*(100-$A80)/100,0)/100*(1-'Δρομολόγια'!$S$14)-'Δρομολόγια'!$R$14,"")</f>
        <v/>
      </c>
      <c r="K80" s="20">
        <f>IF('Δρομολόγια'!$P$15,ROUND(ROUND('Δρομολόγια'!$F$15*100,0)*(100-$A80)/100,0)/100*(1-'Δρομολόγια'!$S$15)-'Δρομολόγια'!$R$15,"")</f>
        <v/>
      </c>
      <c r="L80" s="20">
        <f>IF('Δρομολόγια'!$P$16,ROUND(ROUND('Δρομολόγια'!$F$16*100,0)*(100-$A80)/100,0)/100*(1-'Δρομολόγια'!$S$16)-'Δρομολόγια'!$R$16,"")</f>
        <v/>
      </c>
      <c r="M80" s="20">
        <f>IF('Δρομολόγια'!$P$17,ROUND(ROUND('Δρομολόγια'!$F$17*100,0)*(100-$A80)/100,0)/100*(1-'Δρομολόγια'!$S$17)-'Δρομολόγια'!$R$17,"")</f>
        <v/>
      </c>
      <c r="N80" s="20">
        <f>IF('Δρομολόγια'!$P$18,ROUND(ROUND('Δρομολόγια'!$F$18*100,0)*(100-$A80)/100,0)/100*(1-'Δρομολόγια'!$S$18)-'Δρομολόγια'!$R$18,"")</f>
        <v/>
      </c>
      <c r="O80" s="20">
        <f>IF('Δρομολόγια'!$P$19,ROUND(ROUND('Δρομολόγια'!$F$19*100,0)*(100-$A80)/100,0)/100*(1-'Δρομολόγια'!$S$19)-'Δρομολόγια'!$R$19,"")</f>
        <v/>
      </c>
      <c r="P80" s="20">
        <f>IF('Δρομολόγια'!$P$20,ROUND(ROUND('Δρομολόγια'!$F$20*100,0)*(100-$A80)/100,0)/100*(1-'Δρομολόγια'!$S$20)-'Δρομολόγια'!$R$20,"")</f>
        <v/>
      </c>
      <c r="Q80" t="inlineStr">
        <is>
          <t>εβδομήντα τέσσερα</t>
        </is>
      </c>
    </row>
    <row r="81">
      <c r="A81" t="n">
        <v>75</v>
      </c>
      <c r="B81" s="20">
        <f>IF('Δρομολόγια'!$P$6,ROUND(ROUND('Δρομολόγια'!$F$6*100,0)*(100-$A81)/100,0)/100*(1-'Δρομολόγια'!$S$6)-'Δρομολόγια'!$R$6,"")</f>
        <v/>
      </c>
      <c r="C81" s="20">
        <f>IF('Δρομολόγια'!$P$7,ROUND(ROUND('Δρομολόγια'!$F$7*100,0)*(100-$A81)/100,0)/100*(1-'Δρομολόγια'!$S$7)-'Δρομολόγια'!$R$7,"")</f>
        <v/>
      </c>
      <c r="D81" s="20">
        <f>IF('Δρομολόγια'!$P$8,ROUND(ROUND('Δρομολόγια'!$F$8*100,0)*(100-$A81)/100,0)/100*(1-'Δρομολόγια'!$S$8)-'Δρομολόγια'!$R$8,"")</f>
        <v/>
      </c>
      <c r="E81" s="20">
        <f>IF('Δρομολόγια'!$P$9,ROUND(ROUND('Δρομολόγια'!$F$9*100,0)*(100-$A81)/100,0)/100*(1-'Δρομολόγια'!$S$9)-'Δρομολόγια'!$R$9,"")</f>
        <v/>
      </c>
      <c r="F81" s="20">
        <f>IF('Δρομολόγια'!$P$10,ROUND(ROUND('Δρομολόγια'!$F$10*100,0)*(100-$A81)/100,0)/100*(1-'Δρομολόγια'!$S$10)-'Δρομολόγια'!$R$10,"")</f>
        <v/>
      </c>
      <c r="G81" s="20">
        <f>IF('Δρομολόγια'!$P$11,ROUND(ROUND('Δρομολόγια'!$F$11*100,0)*(100-$A81)/100,0)/100*(1-'Δρομολόγια'!$S$11)-'Δρομολόγια'!$R$11,"")</f>
        <v/>
      </c>
      <c r="H81" s="20">
        <f>IF('Δρομολόγια'!$P$12,ROUND(ROUND('Δρομολόγια'!$F$12*100,0)*(100-$A81)/100,0)/100*(1-'Δρομολόγια'!$S$12)-'Δρομολόγια'!$R$12,"")</f>
        <v/>
      </c>
      <c r="I81" s="20">
        <f>IF('Δρομολόγια'!$P$13,ROUND(ROUND('Δρομολόγια'!$F$13*100,0)*(100-$A81)/100,0)/100*(1-'Δρομολόγια'!$S$13)-'Δρομολόγια'!$R$13,"")</f>
        <v/>
      </c>
      <c r="J81" s="20">
        <f>IF('Δρομολόγια'!$P$14,ROUND(ROUND('Δρομολόγια'!$F$14*100,0)*(100-$A81)/100,0)/100*(1-'Δρομολόγια'!$S$14)-'Δρομολόγια'!$R$14,"")</f>
        <v/>
      </c>
      <c r="K81" s="20">
        <f>IF('Δρομολόγια'!$P$15,ROUND(ROUND('Δρομολόγια'!$F$15*100,0)*(100-$A81)/100,0)/100*(1-'Δρομολόγια'!$S$15)-'Δρομολόγια'!$R$15,"")</f>
        <v/>
      </c>
      <c r="L81" s="20">
        <f>IF('Δρομολόγια'!$P$16,ROUND(ROUND('Δρομολόγια'!$F$16*100,0)*(100-$A81)/100,0)/100*(1-'Δρομολόγια'!$S$16)-'Δρομολόγια'!$R$16,"")</f>
        <v/>
      </c>
      <c r="M81" s="20">
        <f>IF('Δρομολόγια'!$P$17,ROUND(ROUND('Δρομολόγια'!$F$17*100,0)*(100-$A81)/100,0)/100*(1-'Δρομολόγια'!$S$17)-'Δρομολόγια'!$R$17,"")</f>
        <v/>
      </c>
      <c r="N81" s="20">
        <f>IF('Δρομολόγια'!$P$18,ROUND(ROUND('Δρομολόγια'!$F$18*100,0)*(100-$A81)/100,0)/100*(1-'Δρομολόγια'!$S$18)-'Δρομολόγια'!$R$18,"")</f>
        <v/>
      </c>
      <c r="O81" s="20">
        <f>IF('Δρομολόγια'!$P$19,ROUND(ROUND('Δρομολόγια'!$F$19*100,0)*(100-$A81)/100,0)/100*(1-'Δρομολόγια'!$S$19)-'Δρομολόγια'!$R$19,"")</f>
        <v/>
      </c>
      <c r="P81" s="20">
        <f>IF('Δρομολόγια'!$P$20,ROUND(ROUND('Δρομολόγια'!$F$20*100,0)*(100-$A81)/100,0)/100*(1-'Δρομολόγια'!$S$20)-'Δρομολόγια'!$R$20,"")</f>
        <v/>
      </c>
      <c r="Q81" t="inlineStr">
        <is>
          <t>εβδομήντα πέντε</t>
        </is>
      </c>
    </row>
    <row r="82">
      <c r="A82" t="n">
        <v>76</v>
      </c>
      <c r="B82" s="20">
        <f>IF('Δρομολόγια'!$P$6,ROUND(ROUND('Δρομολόγια'!$F$6*100,0)*(100-$A82)/100,0)/100*(1-'Δρομολόγια'!$S$6)-'Δρομολόγια'!$R$6,"")</f>
        <v/>
      </c>
      <c r="C82" s="20">
        <f>IF('Δρομολόγια'!$P$7,ROUND(ROUND('Δρομολόγια'!$F$7*100,0)*(100-$A82)/100,0)/100*(1-'Δρομολόγια'!$S$7)-'Δρομολόγια'!$R$7,"")</f>
        <v/>
      </c>
      <c r="D82" s="20">
        <f>IF('Δρομολόγια'!$P$8,ROUND(ROUND('Δρομολόγια'!$F$8*100,0)*(100-$A82)/100,0)/100*(1-'Δρομολόγια'!$S$8)-'Δρομολόγια'!$R$8,"")</f>
        <v/>
      </c>
      <c r="E82" s="20">
        <f>IF('Δρομολόγια'!$P$9,ROUND(ROUND('Δρομολόγια'!$F$9*100,0)*(100-$A82)/100,0)/100*(1-'Δρομολόγια'!$S$9)-'Δρομολόγια'!$R$9,"")</f>
        <v/>
      </c>
      <c r="F82" s="20">
        <f>IF('Δρομολόγια'!$P$10,ROUND(ROUND('Δρομολόγια'!$F$10*100,0)*(100-$A82)/100,0)/100*(1-'Δρομολόγια'!$S$10)-'Δρομολόγια'!$R$10,"")</f>
        <v/>
      </c>
      <c r="G82" s="20">
        <f>IF('Δρομολόγια'!$P$11,ROUND(ROUND('Δρομολόγια'!$F$11*100,0)*(100-$A82)/100,0)/100*(1-'Δρομολόγια'!$S$11)-'Δρομολόγια'!$R$11,"")</f>
        <v/>
      </c>
      <c r="H82" s="20">
        <f>IF('Δρομολόγια'!$P$12,ROUND(ROUND('Δρομολόγια'!$F$12*100,0)*(100-$A82)/100,0)/100*(1-'Δρομολόγια'!$S$12)-'Δρομολόγια'!$R$12,"")</f>
        <v/>
      </c>
      <c r="I82" s="20">
        <f>IF('Δρομολόγια'!$P$13,ROUND(ROUND('Δρομολόγια'!$F$13*100,0)*(100-$A82)/100,0)/100*(1-'Δρομολόγια'!$S$13)-'Δρομολόγια'!$R$13,"")</f>
        <v/>
      </c>
      <c r="J82" s="20">
        <f>IF('Δρομολόγια'!$P$14,ROUND(ROUND('Δρομολόγια'!$F$14*100,0)*(100-$A82)/100,0)/100*(1-'Δρομολόγια'!$S$14)-'Δρομολόγια'!$R$14,"")</f>
        <v/>
      </c>
      <c r="K82" s="20">
        <f>IF('Δρομολόγια'!$P$15,ROUND(ROUND('Δρομολόγια'!$F$15*100,0)*(100-$A82)/100,0)/100*(1-'Δρομολόγια'!$S$15)-'Δρομολόγια'!$R$15,"")</f>
        <v/>
      </c>
      <c r="L82" s="20">
        <f>IF('Δρομολόγια'!$P$16,ROUND(ROUND('Δρομολόγια'!$F$16*100,0)*(100-$A82)/100,0)/100*(1-'Δρομολόγια'!$S$16)-'Δρομολόγια'!$R$16,"")</f>
        <v/>
      </c>
      <c r="M82" s="20">
        <f>IF('Δρομολόγια'!$P$17,ROUND(ROUND('Δρομολόγια'!$F$17*100,0)*(100-$A82)/100,0)/100*(1-'Δρομολόγια'!$S$17)-'Δρομολόγια'!$R$17,"")</f>
        <v/>
      </c>
      <c r="N82" s="20">
        <f>IF('Δρομολόγια'!$P$18,ROUND(ROUND('Δρομολόγια'!$F$18*100,0)*(100-$A82)/100,0)/100*(1-'Δρομολόγια'!$S$18)-'Δρομολόγια'!$R$18,"")</f>
        <v/>
      </c>
      <c r="O82" s="20">
        <f>IF('Δρομολόγια'!$P$19,ROUND(ROUND('Δρομολόγια'!$F$19*100,0)*(100-$A82)/100,0)/100*(1-'Δρομολόγια'!$S$19)-'Δρομολόγια'!$R$19,"")</f>
        <v/>
      </c>
      <c r="P82" s="20">
        <f>IF('Δρομολόγια'!$P$20,ROUND(ROUND('Δρομολόγια'!$F$20*100,0)*(100-$A82)/100,0)/100*(1-'Δρομολόγια'!$S$20)-'Δρομολόγια'!$R$20,"")</f>
        <v/>
      </c>
      <c r="Q82" t="inlineStr">
        <is>
          <t>εβδομήντα έξι</t>
        </is>
      </c>
    </row>
    <row r="83">
      <c r="A83" t="n">
        <v>77</v>
      </c>
      <c r="B83" s="20">
        <f>IF('Δρομολόγια'!$P$6,ROUND(ROUND('Δρομολόγια'!$F$6*100,0)*(100-$A83)/100,0)/100*(1-'Δρομολόγια'!$S$6)-'Δρομολόγια'!$R$6,"")</f>
        <v/>
      </c>
      <c r="C83" s="20">
        <f>IF('Δρομολόγια'!$P$7,ROUND(ROUND('Δρομολόγια'!$F$7*100,0)*(100-$A83)/100,0)/100*(1-'Δρομολόγια'!$S$7)-'Δρομολόγια'!$R$7,"")</f>
        <v/>
      </c>
      <c r="D83" s="20">
        <f>IF('Δρομολόγια'!$P$8,ROUND(ROUND('Δρομολόγια'!$F$8*100,0)*(100-$A83)/100,0)/100*(1-'Δρομολόγια'!$S$8)-'Δρομολόγια'!$R$8,"")</f>
        <v/>
      </c>
      <c r="E83" s="20">
        <f>IF('Δρομολόγια'!$P$9,ROUND(ROUND('Δρομολόγια'!$F$9*100,0)*(100-$A83)/100,0)/100*(1-'Δρομολόγια'!$S$9)-'Δρομολόγια'!$R$9,"")</f>
        <v/>
      </c>
      <c r="F83" s="20">
        <f>IF('Δρομολόγια'!$P$10,ROUND(ROUND('Δρομολόγια'!$F$10*100,0)*(100-$A83)/100,0)/100*(1-'Δρομολόγια'!$S$10)-'Δρομολόγια'!$R$10,"")</f>
        <v/>
      </c>
      <c r="G83" s="20">
        <f>IF('Δρομολόγια'!$P$11,ROUND(ROUND('Δρομολόγια'!$F$11*100,0)*(100-$A83)/100,0)/100*(1-'Δρομολόγια'!$S$11)-'Δρομολόγια'!$R$11,"")</f>
        <v/>
      </c>
      <c r="H83" s="20">
        <f>IF('Δρομολόγια'!$P$12,ROUND(ROUND('Δρομολόγια'!$F$12*100,0)*(100-$A83)/100,0)/100*(1-'Δρομολόγια'!$S$12)-'Δρομολόγια'!$R$12,"")</f>
        <v/>
      </c>
      <c r="I83" s="20">
        <f>IF('Δρομολόγια'!$P$13,ROUND(ROUND('Δρομολόγια'!$F$13*100,0)*(100-$A83)/100,0)/100*(1-'Δρομολόγια'!$S$13)-'Δρομολόγια'!$R$13,"")</f>
        <v/>
      </c>
      <c r="J83" s="20">
        <f>IF('Δρομολόγια'!$P$14,ROUND(ROUND('Δρομολόγια'!$F$14*100,0)*(100-$A83)/100,0)/100*(1-'Δρομολόγια'!$S$14)-'Δρομολόγια'!$R$14,"")</f>
        <v/>
      </c>
      <c r="K83" s="20">
        <f>IF('Δρομολόγια'!$P$15,ROUND(ROUND('Δρομολόγια'!$F$15*100,0)*(100-$A83)/100,0)/100*(1-'Δρομολόγια'!$S$15)-'Δρομολόγια'!$R$15,"")</f>
        <v/>
      </c>
      <c r="L83" s="20">
        <f>IF('Δρομολόγια'!$P$16,ROUND(ROUND('Δρομολόγια'!$F$16*100,0)*(100-$A83)/100,0)/100*(1-'Δρομολόγια'!$S$16)-'Δρομολόγια'!$R$16,"")</f>
        <v/>
      </c>
      <c r="M83" s="20">
        <f>IF('Δρομολόγια'!$P$17,ROUND(ROUND('Δρομολόγια'!$F$17*100,0)*(100-$A83)/100,0)/100*(1-'Δρομολόγια'!$S$17)-'Δρομολόγια'!$R$17,"")</f>
        <v/>
      </c>
      <c r="N83" s="20">
        <f>IF('Δρομολόγια'!$P$18,ROUND(ROUND('Δρομολόγια'!$F$18*100,0)*(100-$A83)/100,0)/100*(1-'Δρομολόγια'!$S$18)-'Δρομολόγια'!$R$18,"")</f>
        <v/>
      </c>
      <c r="O83" s="20">
        <f>IF('Δρομολόγια'!$P$19,ROUND(ROUND('Δρομολόγια'!$F$19*100,0)*(100-$A83)/100,0)/100*(1-'Δρομολόγια'!$S$19)-'Δρομολόγια'!$R$19,"")</f>
        <v/>
      </c>
      <c r="P83" s="20">
        <f>IF('Δρομολόγια'!$P$20,ROUND(ROUND('Δρομολόγια'!$F$20*100,0)*(100-$A83)/100,0)/100*(1-'Δρομολόγια'!$S$20)-'Δρομολόγια'!$R$20,"")</f>
        <v/>
      </c>
      <c r="Q83" t="inlineStr">
        <is>
          <t>εβδομήντα επτά</t>
        </is>
      </c>
    </row>
    <row r="84">
      <c r="A84" t="n">
        <v>78</v>
      </c>
      <c r="B84" s="20">
        <f>IF('Δρομολόγια'!$P$6,ROUND(ROUND('Δρομολόγια'!$F$6*100,0)*(100-$A84)/100,0)/100*(1-'Δρομολόγια'!$S$6)-'Δρομολόγια'!$R$6,"")</f>
        <v/>
      </c>
      <c r="C84" s="20">
        <f>IF('Δρομολόγια'!$P$7,ROUND(ROUND('Δρομολόγια'!$F$7*100,0)*(100-$A84)/100,0)/100*(1-'Δρομολόγια'!$S$7)-'Δρομολόγια'!$R$7,"")</f>
        <v/>
      </c>
      <c r="D84" s="20">
        <f>IF('Δρομολόγια'!$P$8,ROUND(ROUND('Δρομολόγια'!$F$8*100,0)*(100-$A84)/100,0)/100*(1-'Δρομολόγια'!$S$8)-'Δρομολόγια'!$R$8,"")</f>
        <v/>
      </c>
      <c r="E84" s="20">
        <f>IF('Δρομολόγια'!$P$9,ROUND(ROUND('Δρομολόγια'!$F$9*100,0)*(100-$A84)/100,0)/100*(1-'Δρομολόγια'!$S$9)-'Δρομολόγια'!$R$9,"")</f>
        <v/>
      </c>
      <c r="F84" s="20">
        <f>IF('Δρομολόγια'!$P$10,ROUND(ROUND('Δρομολόγια'!$F$10*100,0)*(100-$A84)/100,0)/100*(1-'Δρομολόγια'!$S$10)-'Δρομολόγια'!$R$10,"")</f>
        <v/>
      </c>
      <c r="G84" s="20">
        <f>IF('Δρομολόγια'!$P$11,ROUND(ROUND('Δρομολόγια'!$F$11*100,0)*(100-$A84)/100,0)/100*(1-'Δρομολόγια'!$S$11)-'Δρομολόγια'!$R$11,"")</f>
        <v/>
      </c>
      <c r="H84" s="20">
        <f>IF('Δρομολόγια'!$P$12,ROUND(ROUND('Δρομολόγια'!$F$12*100,0)*(100-$A84)/100,0)/100*(1-'Δρομολόγια'!$S$12)-'Δρομολόγια'!$R$12,"")</f>
        <v/>
      </c>
      <c r="I84" s="20">
        <f>IF('Δρομολόγια'!$P$13,ROUND(ROUND('Δρομολόγια'!$F$13*100,0)*(100-$A84)/100,0)/100*(1-'Δρομολόγια'!$S$13)-'Δρομολόγια'!$R$13,"")</f>
        <v/>
      </c>
      <c r="J84" s="20">
        <f>IF('Δρομολόγια'!$P$14,ROUND(ROUND('Δρομολόγια'!$F$14*100,0)*(100-$A84)/100,0)/100*(1-'Δρομολόγια'!$S$14)-'Δρομολόγια'!$R$14,"")</f>
        <v/>
      </c>
      <c r="K84" s="20">
        <f>IF('Δρομολόγια'!$P$15,ROUND(ROUND('Δρομολόγια'!$F$15*100,0)*(100-$A84)/100,0)/100*(1-'Δρομολόγια'!$S$15)-'Δρομολόγια'!$R$15,"")</f>
        <v/>
      </c>
      <c r="L84" s="20">
        <f>IF('Δρομολόγια'!$P$16,ROUND(ROUND('Δρομολόγια'!$F$16*100,0)*(100-$A84)/100,0)/100*(1-'Δρομολόγια'!$S$16)-'Δρομολόγια'!$R$16,"")</f>
        <v/>
      </c>
      <c r="M84" s="20">
        <f>IF('Δρομολόγια'!$P$17,ROUND(ROUND('Δρομολόγια'!$F$17*100,0)*(100-$A84)/100,0)/100*(1-'Δρομολόγια'!$S$17)-'Δρομολόγια'!$R$17,"")</f>
        <v/>
      </c>
      <c r="N84" s="20">
        <f>IF('Δρομολόγια'!$P$18,ROUND(ROUND('Δρομολόγια'!$F$18*100,0)*(100-$A84)/100,0)/100*(1-'Δρομολόγια'!$S$18)-'Δρομολόγια'!$R$18,"")</f>
        <v/>
      </c>
      <c r="O84" s="20">
        <f>IF('Δρομολόγια'!$P$19,ROUND(ROUND('Δρομολόγια'!$F$19*100,0)*(100-$A84)/100,0)/100*(1-'Δρομολόγια'!$S$19)-'Δρομολόγια'!$R$19,"")</f>
        <v/>
      </c>
      <c r="P84" s="20">
        <f>IF('Δρομολόγια'!$P$20,ROUND(ROUND('Δρομολόγια'!$F$20*100,0)*(100-$A84)/100,0)/100*(1-'Δρομολόγια'!$S$20)-'Δρομολόγια'!$R$20,"")</f>
        <v/>
      </c>
      <c r="Q84" t="inlineStr">
        <is>
          <t>εβδομήντα οκτώ</t>
        </is>
      </c>
    </row>
    <row r="85">
      <c r="A85" t="n">
        <v>79</v>
      </c>
      <c r="B85" s="20">
        <f>IF('Δρομολόγια'!$P$6,ROUND(ROUND('Δρομολόγια'!$F$6*100,0)*(100-$A85)/100,0)/100*(1-'Δρομολόγια'!$S$6)-'Δρομολόγια'!$R$6,"")</f>
        <v/>
      </c>
      <c r="C85" s="20">
        <f>IF('Δρομολόγια'!$P$7,ROUND(ROUND('Δρομολόγια'!$F$7*100,0)*(100-$A85)/100,0)/100*(1-'Δρομολόγια'!$S$7)-'Δρομολόγια'!$R$7,"")</f>
        <v/>
      </c>
      <c r="D85" s="20">
        <f>IF('Δρομολόγια'!$P$8,ROUND(ROUND('Δρομολόγια'!$F$8*100,0)*(100-$A85)/100,0)/100*(1-'Δρομολόγια'!$S$8)-'Δρομολόγια'!$R$8,"")</f>
        <v/>
      </c>
      <c r="E85" s="20">
        <f>IF('Δρομολόγια'!$P$9,ROUND(ROUND('Δρομολόγια'!$F$9*100,0)*(100-$A85)/100,0)/100*(1-'Δρομολόγια'!$S$9)-'Δρομολόγια'!$R$9,"")</f>
        <v/>
      </c>
      <c r="F85" s="20">
        <f>IF('Δρομολόγια'!$P$10,ROUND(ROUND('Δρομολόγια'!$F$10*100,0)*(100-$A85)/100,0)/100*(1-'Δρομολόγια'!$S$10)-'Δρομολόγια'!$R$10,"")</f>
        <v/>
      </c>
      <c r="G85" s="20">
        <f>IF('Δρομολόγια'!$P$11,ROUND(ROUND('Δρομολόγια'!$F$11*100,0)*(100-$A85)/100,0)/100*(1-'Δρομολόγια'!$S$11)-'Δρομολόγια'!$R$11,"")</f>
        <v/>
      </c>
      <c r="H85" s="20">
        <f>IF('Δρομολόγια'!$P$12,ROUND(ROUND('Δρομολόγια'!$F$12*100,0)*(100-$A85)/100,0)/100*(1-'Δρομολόγια'!$S$12)-'Δρομολόγια'!$R$12,"")</f>
        <v/>
      </c>
      <c r="I85" s="20">
        <f>IF('Δρομολόγια'!$P$13,ROUND(ROUND('Δρομολόγια'!$F$13*100,0)*(100-$A85)/100,0)/100*(1-'Δρομολόγια'!$S$13)-'Δρομολόγια'!$R$13,"")</f>
        <v/>
      </c>
      <c r="J85" s="20">
        <f>IF('Δρομολόγια'!$P$14,ROUND(ROUND('Δρομολόγια'!$F$14*100,0)*(100-$A85)/100,0)/100*(1-'Δρομολόγια'!$S$14)-'Δρομολόγια'!$R$14,"")</f>
        <v/>
      </c>
      <c r="K85" s="20">
        <f>IF('Δρομολόγια'!$P$15,ROUND(ROUND('Δρομολόγια'!$F$15*100,0)*(100-$A85)/100,0)/100*(1-'Δρομολόγια'!$S$15)-'Δρομολόγια'!$R$15,"")</f>
        <v/>
      </c>
      <c r="L85" s="20">
        <f>IF('Δρομολόγια'!$P$16,ROUND(ROUND('Δρομολόγια'!$F$16*100,0)*(100-$A85)/100,0)/100*(1-'Δρομολόγια'!$S$16)-'Δρομολόγια'!$R$16,"")</f>
        <v/>
      </c>
      <c r="M85" s="20">
        <f>IF('Δρομολόγια'!$P$17,ROUND(ROUND('Δρομολόγια'!$F$17*100,0)*(100-$A85)/100,0)/100*(1-'Δρομολόγια'!$S$17)-'Δρομολόγια'!$R$17,"")</f>
        <v/>
      </c>
      <c r="N85" s="20">
        <f>IF('Δρομολόγια'!$P$18,ROUND(ROUND('Δρομολόγια'!$F$18*100,0)*(100-$A85)/100,0)/100*(1-'Δρομολόγια'!$S$18)-'Δρομολόγια'!$R$18,"")</f>
        <v/>
      </c>
      <c r="O85" s="20">
        <f>IF('Δρομολόγια'!$P$19,ROUND(ROUND('Δρομολόγια'!$F$19*100,0)*(100-$A85)/100,0)/100*(1-'Δρομολόγια'!$S$19)-'Δρομολόγια'!$R$19,"")</f>
        <v/>
      </c>
      <c r="P85" s="20">
        <f>IF('Δρομολόγια'!$P$20,ROUND(ROUND('Δρομολόγια'!$F$20*100,0)*(100-$A85)/100,0)/100*(1-'Δρομολόγια'!$S$20)-'Δρομολόγια'!$R$20,"")</f>
        <v/>
      </c>
      <c r="Q85" t="inlineStr">
        <is>
          <t>εβδομήντα εννέα</t>
        </is>
      </c>
    </row>
    <row r="86">
      <c r="A86" t="n">
        <v>80</v>
      </c>
      <c r="B86" s="20">
        <f>IF('Δρομολόγια'!$P$6,ROUND(ROUND('Δρομολόγια'!$F$6*100,0)*(100-$A86)/100,0)/100*(1-'Δρομολόγια'!$S$6)-'Δρομολόγια'!$R$6,"")</f>
        <v/>
      </c>
      <c r="C86" s="20">
        <f>IF('Δρομολόγια'!$P$7,ROUND(ROUND('Δρομολόγια'!$F$7*100,0)*(100-$A86)/100,0)/100*(1-'Δρομολόγια'!$S$7)-'Δρομολόγια'!$R$7,"")</f>
        <v/>
      </c>
      <c r="D86" s="20">
        <f>IF('Δρομολόγια'!$P$8,ROUND(ROUND('Δρομολόγια'!$F$8*100,0)*(100-$A86)/100,0)/100*(1-'Δρομολόγια'!$S$8)-'Δρομολόγια'!$R$8,"")</f>
        <v/>
      </c>
      <c r="E86" s="20">
        <f>IF('Δρομολόγια'!$P$9,ROUND(ROUND('Δρομολόγια'!$F$9*100,0)*(100-$A86)/100,0)/100*(1-'Δρομολόγια'!$S$9)-'Δρομολόγια'!$R$9,"")</f>
        <v/>
      </c>
      <c r="F86" s="20">
        <f>IF('Δρομολόγια'!$P$10,ROUND(ROUND('Δρομολόγια'!$F$10*100,0)*(100-$A86)/100,0)/100*(1-'Δρομολόγια'!$S$10)-'Δρομολόγια'!$R$10,"")</f>
        <v/>
      </c>
      <c r="G86" s="20">
        <f>IF('Δρομολόγια'!$P$11,ROUND(ROUND('Δρομολόγια'!$F$11*100,0)*(100-$A86)/100,0)/100*(1-'Δρομολόγια'!$S$11)-'Δρομολόγια'!$R$11,"")</f>
        <v/>
      </c>
      <c r="H86" s="20">
        <f>IF('Δρομολόγια'!$P$12,ROUND(ROUND('Δρομολόγια'!$F$12*100,0)*(100-$A86)/100,0)/100*(1-'Δρομολόγια'!$S$12)-'Δρομολόγια'!$R$12,"")</f>
        <v/>
      </c>
      <c r="I86" s="20">
        <f>IF('Δρομολόγια'!$P$13,ROUND(ROUND('Δρομολόγια'!$F$13*100,0)*(100-$A86)/100,0)/100*(1-'Δρομολόγια'!$S$13)-'Δρομολόγια'!$R$13,"")</f>
        <v/>
      </c>
      <c r="J86" s="20">
        <f>IF('Δρομολόγια'!$P$14,ROUND(ROUND('Δρομολόγια'!$F$14*100,0)*(100-$A86)/100,0)/100*(1-'Δρομολόγια'!$S$14)-'Δρομολόγια'!$R$14,"")</f>
        <v/>
      </c>
      <c r="K86" s="20">
        <f>IF('Δρομολόγια'!$P$15,ROUND(ROUND('Δρομολόγια'!$F$15*100,0)*(100-$A86)/100,0)/100*(1-'Δρομολόγια'!$S$15)-'Δρομολόγια'!$R$15,"")</f>
        <v/>
      </c>
      <c r="L86" s="20">
        <f>IF('Δρομολόγια'!$P$16,ROUND(ROUND('Δρομολόγια'!$F$16*100,0)*(100-$A86)/100,0)/100*(1-'Δρομολόγια'!$S$16)-'Δρομολόγια'!$R$16,"")</f>
        <v/>
      </c>
      <c r="M86" s="20">
        <f>IF('Δρομολόγια'!$P$17,ROUND(ROUND('Δρομολόγια'!$F$17*100,0)*(100-$A86)/100,0)/100*(1-'Δρομολόγια'!$S$17)-'Δρομολόγια'!$R$17,"")</f>
        <v/>
      </c>
      <c r="N86" s="20">
        <f>IF('Δρομολόγια'!$P$18,ROUND(ROUND('Δρομολόγια'!$F$18*100,0)*(100-$A86)/100,0)/100*(1-'Δρομολόγια'!$S$18)-'Δρομολόγια'!$R$18,"")</f>
        <v/>
      </c>
      <c r="O86" s="20">
        <f>IF('Δρομολόγια'!$P$19,ROUND(ROUND('Δρομολόγια'!$F$19*100,0)*(100-$A86)/100,0)/100*(1-'Δρομολόγια'!$S$19)-'Δρομολόγια'!$R$19,"")</f>
        <v/>
      </c>
      <c r="P86" s="20">
        <f>IF('Δρομολόγια'!$P$20,ROUND(ROUND('Δρομολόγια'!$F$20*100,0)*(100-$A86)/100,0)/100*(1-'Δρομολόγια'!$S$20)-'Δρομολόγια'!$R$20,"")</f>
        <v/>
      </c>
      <c r="Q86" t="inlineStr">
        <is>
          <t>ογδόντα</t>
        </is>
      </c>
    </row>
    <row r="87">
      <c r="A87" t="n">
        <v>81</v>
      </c>
      <c r="B87" s="20">
        <f>IF('Δρομολόγια'!$P$6,ROUND(ROUND('Δρομολόγια'!$F$6*100,0)*(100-$A87)/100,0)/100*(1-'Δρομολόγια'!$S$6)-'Δρομολόγια'!$R$6,"")</f>
        <v/>
      </c>
      <c r="C87" s="20">
        <f>IF('Δρομολόγια'!$P$7,ROUND(ROUND('Δρομολόγια'!$F$7*100,0)*(100-$A87)/100,0)/100*(1-'Δρομολόγια'!$S$7)-'Δρομολόγια'!$R$7,"")</f>
        <v/>
      </c>
      <c r="D87" s="20">
        <f>IF('Δρομολόγια'!$P$8,ROUND(ROUND('Δρομολόγια'!$F$8*100,0)*(100-$A87)/100,0)/100*(1-'Δρομολόγια'!$S$8)-'Δρομολόγια'!$R$8,"")</f>
        <v/>
      </c>
      <c r="E87" s="20">
        <f>IF('Δρομολόγια'!$P$9,ROUND(ROUND('Δρομολόγια'!$F$9*100,0)*(100-$A87)/100,0)/100*(1-'Δρομολόγια'!$S$9)-'Δρομολόγια'!$R$9,"")</f>
        <v/>
      </c>
      <c r="F87" s="20">
        <f>IF('Δρομολόγια'!$P$10,ROUND(ROUND('Δρομολόγια'!$F$10*100,0)*(100-$A87)/100,0)/100*(1-'Δρομολόγια'!$S$10)-'Δρομολόγια'!$R$10,"")</f>
        <v/>
      </c>
      <c r="G87" s="20">
        <f>IF('Δρομολόγια'!$P$11,ROUND(ROUND('Δρομολόγια'!$F$11*100,0)*(100-$A87)/100,0)/100*(1-'Δρομολόγια'!$S$11)-'Δρομολόγια'!$R$11,"")</f>
        <v/>
      </c>
      <c r="H87" s="20">
        <f>IF('Δρομολόγια'!$P$12,ROUND(ROUND('Δρομολόγια'!$F$12*100,0)*(100-$A87)/100,0)/100*(1-'Δρομολόγια'!$S$12)-'Δρομολόγια'!$R$12,"")</f>
        <v/>
      </c>
      <c r="I87" s="20">
        <f>IF('Δρομολόγια'!$P$13,ROUND(ROUND('Δρομολόγια'!$F$13*100,0)*(100-$A87)/100,0)/100*(1-'Δρομολόγια'!$S$13)-'Δρομολόγια'!$R$13,"")</f>
        <v/>
      </c>
      <c r="J87" s="20">
        <f>IF('Δρομολόγια'!$P$14,ROUND(ROUND('Δρομολόγια'!$F$14*100,0)*(100-$A87)/100,0)/100*(1-'Δρομολόγια'!$S$14)-'Δρομολόγια'!$R$14,"")</f>
        <v/>
      </c>
      <c r="K87" s="20">
        <f>IF('Δρομολόγια'!$P$15,ROUND(ROUND('Δρομολόγια'!$F$15*100,0)*(100-$A87)/100,0)/100*(1-'Δρομολόγια'!$S$15)-'Δρομολόγια'!$R$15,"")</f>
        <v/>
      </c>
      <c r="L87" s="20">
        <f>IF('Δρομολόγια'!$P$16,ROUND(ROUND('Δρομολόγια'!$F$16*100,0)*(100-$A87)/100,0)/100*(1-'Δρομολόγια'!$S$16)-'Δρομολόγια'!$R$16,"")</f>
        <v/>
      </c>
      <c r="M87" s="20">
        <f>IF('Δρομολόγια'!$P$17,ROUND(ROUND('Δρομολόγια'!$F$17*100,0)*(100-$A87)/100,0)/100*(1-'Δρομολόγια'!$S$17)-'Δρομολόγια'!$R$17,"")</f>
        <v/>
      </c>
      <c r="N87" s="20">
        <f>IF('Δρομολόγια'!$P$18,ROUND(ROUND('Δρομολόγια'!$F$18*100,0)*(100-$A87)/100,0)/100*(1-'Δρομολόγια'!$S$18)-'Δρομολόγια'!$R$18,"")</f>
        <v/>
      </c>
      <c r="O87" s="20">
        <f>IF('Δρομολόγια'!$P$19,ROUND(ROUND('Δρομολόγια'!$F$19*100,0)*(100-$A87)/100,0)/100*(1-'Δρομολόγια'!$S$19)-'Δρομολόγια'!$R$19,"")</f>
        <v/>
      </c>
      <c r="P87" s="20">
        <f>IF('Δρομολόγια'!$P$20,ROUND(ROUND('Δρομολόγια'!$F$20*100,0)*(100-$A87)/100,0)/100*(1-'Δρομολόγια'!$S$20)-'Δρομολόγια'!$R$20,"")</f>
        <v/>
      </c>
      <c r="Q87" t="inlineStr">
        <is>
          <t>ογδόντα ένα</t>
        </is>
      </c>
    </row>
    <row r="88">
      <c r="A88" t="n">
        <v>82</v>
      </c>
      <c r="B88" s="20">
        <f>IF('Δρομολόγια'!$P$6,ROUND(ROUND('Δρομολόγια'!$F$6*100,0)*(100-$A88)/100,0)/100*(1-'Δρομολόγια'!$S$6)-'Δρομολόγια'!$R$6,"")</f>
        <v/>
      </c>
      <c r="C88" s="20">
        <f>IF('Δρομολόγια'!$P$7,ROUND(ROUND('Δρομολόγια'!$F$7*100,0)*(100-$A88)/100,0)/100*(1-'Δρομολόγια'!$S$7)-'Δρομολόγια'!$R$7,"")</f>
        <v/>
      </c>
      <c r="D88" s="20">
        <f>IF('Δρομολόγια'!$P$8,ROUND(ROUND('Δρομολόγια'!$F$8*100,0)*(100-$A88)/100,0)/100*(1-'Δρομολόγια'!$S$8)-'Δρομολόγια'!$R$8,"")</f>
        <v/>
      </c>
      <c r="E88" s="20">
        <f>IF('Δρομολόγια'!$P$9,ROUND(ROUND('Δρομολόγια'!$F$9*100,0)*(100-$A88)/100,0)/100*(1-'Δρομολόγια'!$S$9)-'Δρομολόγια'!$R$9,"")</f>
        <v/>
      </c>
      <c r="F88" s="20">
        <f>IF('Δρομολόγια'!$P$10,ROUND(ROUND('Δρομολόγια'!$F$10*100,0)*(100-$A88)/100,0)/100*(1-'Δρομολόγια'!$S$10)-'Δρομολόγια'!$R$10,"")</f>
        <v/>
      </c>
      <c r="G88" s="20">
        <f>IF('Δρομολόγια'!$P$11,ROUND(ROUND('Δρομολόγια'!$F$11*100,0)*(100-$A88)/100,0)/100*(1-'Δρομολόγια'!$S$11)-'Δρομολόγια'!$R$11,"")</f>
        <v/>
      </c>
      <c r="H88" s="20">
        <f>IF('Δρομολόγια'!$P$12,ROUND(ROUND('Δρομολόγια'!$F$12*100,0)*(100-$A88)/100,0)/100*(1-'Δρομολόγια'!$S$12)-'Δρομολόγια'!$R$12,"")</f>
        <v/>
      </c>
      <c r="I88" s="20">
        <f>IF('Δρομολόγια'!$P$13,ROUND(ROUND('Δρομολόγια'!$F$13*100,0)*(100-$A88)/100,0)/100*(1-'Δρομολόγια'!$S$13)-'Δρομολόγια'!$R$13,"")</f>
        <v/>
      </c>
      <c r="J88" s="20">
        <f>IF('Δρομολόγια'!$P$14,ROUND(ROUND('Δρομολόγια'!$F$14*100,0)*(100-$A88)/100,0)/100*(1-'Δρομολόγια'!$S$14)-'Δρομολόγια'!$R$14,"")</f>
        <v/>
      </c>
      <c r="K88" s="20">
        <f>IF('Δρομολόγια'!$P$15,ROUND(ROUND('Δρομολόγια'!$F$15*100,0)*(100-$A88)/100,0)/100*(1-'Δρομολόγια'!$S$15)-'Δρομολόγια'!$R$15,"")</f>
        <v/>
      </c>
      <c r="L88" s="20">
        <f>IF('Δρομολόγια'!$P$16,ROUND(ROUND('Δρομολόγια'!$F$16*100,0)*(100-$A88)/100,0)/100*(1-'Δρομολόγια'!$S$16)-'Δρομολόγια'!$R$16,"")</f>
        <v/>
      </c>
      <c r="M88" s="20">
        <f>IF('Δρομολόγια'!$P$17,ROUND(ROUND('Δρομολόγια'!$F$17*100,0)*(100-$A88)/100,0)/100*(1-'Δρομολόγια'!$S$17)-'Δρομολόγια'!$R$17,"")</f>
        <v/>
      </c>
      <c r="N88" s="20">
        <f>IF('Δρομολόγια'!$P$18,ROUND(ROUND('Δρομολόγια'!$F$18*100,0)*(100-$A88)/100,0)/100*(1-'Δρομολόγια'!$S$18)-'Δρομολόγια'!$R$18,"")</f>
        <v/>
      </c>
      <c r="O88" s="20">
        <f>IF('Δρομολόγια'!$P$19,ROUND(ROUND('Δρομολόγια'!$F$19*100,0)*(100-$A88)/100,0)/100*(1-'Δρομολόγια'!$S$19)-'Δρομολόγια'!$R$19,"")</f>
        <v/>
      </c>
      <c r="P88" s="20">
        <f>IF('Δρομολόγια'!$P$20,ROUND(ROUND('Δρομολόγια'!$F$20*100,0)*(100-$A88)/100,0)/100*(1-'Δρομολόγια'!$S$20)-'Δρομολόγια'!$R$20,"")</f>
        <v/>
      </c>
      <c r="Q88" t="inlineStr">
        <is>
          <t>ογδόντα δύο</t>
        </is>
      </c>
    </row>
    <row r="89">
      <c r="A89" t="n">
        <v>83</v>
      </c>
      <c r="B89" s="20">
        <f>IF('Δρομολόγια'!$P$6,ROUND(ROUND('Δρομολόγια'!$F$6*100,0)*(100-$A89)/100,0)/100*(1-'Δρομολόγια'!$S$6)-'Δρομολόγια'!$R$6,"")</f>
        <v/>
      </c>
      <c r="C89" s="20">
        <f>IF('Δρομολόγια'!$P$7,ROUND(ROUND('Δρομολόγια'!$F$7*100,0)*(100-$A89)/100,0)/100*(1-'Δρομολόγια'!$S$7)-'Δρομολόγια'!$R$7,"")</f>
        <v/>
      </c>
      <c r="D89" s="20">
        <f>IF('Δρομολόγια'!$P$8,ROUND(ROUND('Δρομολόγια'!$F$8*100,0)*(100-$A89)/100,0)/100*(1-'Δρομολόγια'!$S$8)-'Δρομολόγια'!$R$8,"")</f>
        <v/>
      </c>
      <c r="E89" s="20">
        <f>IF('Δρομολόγια'!$P$9,ROUND(ROUND('Δρομολόγια'!$F$9*100,0)*(100-$A89)/100,0)/100*(1-'Δρομολόγια'!$S$9)-'Δρομολόγια'!$R$9,"")</f>
        <v/>
      </c>
      <c r="F89" s="20">
        <f>IF('Δρομολόγια'!$P$10,ROUND(ROUND('Δρομολόγια'!$F$10*100,0)*(100-$A89)/100,0)/100*(1-'Δρομολόγια'!$S$10)-'Δρομολόγια'!$R$10,"")</f>
        <v/>
      </c>
      <c r="G89" s="20">
        <f>IF('Δρομολόγια'!$P$11,ROUND(ROUND('Δρομολόγια'!$F$11*100,0)*(100-$A89)/100,0)/100*(1-'Δρομολόγια'!$S$11)-'Δρομολόγια'!$R$11,"")</f>
        <v/>
      </c>
      <c r="H89" s="20">
        <f>IF('Δρομολόγια'!$P$12,ROUND(ROUND('Δρομολόγια'!$F$12*100,0)*(100-$A89)/100,0)/100*(1-'Δρομολόγια'!$S$12)-'Δρομολόγια'!$R$12,"")</f>
        <v/>
      </c>
      <c r="I89" s="20">
        <f>IF('Δρομολόγια'!$P$13,ROUND(ROUND('Δρομολόγια'!$F$13*100,0)*(100-$A89)/100,0)/100*(1-'Δρομολόγια'!$S$13)-'Δρομολόγια'!$R$13,"")</f>
        <v/>
      </c>
      <c r="J89" s="20">
        <f>IF('Δρομολόγια'!$P$14,ROUND(ROUND('Δρομολόγια'!$F$14*100,0)*(100-$A89)/100,0)/100*(1-'Δρομολόγια'!$S$14)-'Δρομολόγια'!$R$14,"")</f>
        <v/>
      </c>
      <c r="K89" s="20">
        <f>IF('Δρομολόγια'!$P$15,ROUND(ROUND('Δρομολόγια'!$F$15*100,0)*(100-$A89)/100,0)/100*(1-'Δρομολόγια'!$S$15)-'Δρομολόγια'!$R$15,"")</f>
        <v/>
      </c>
      <c r="L89" s="20">
        <f>IF('Δρομολόγια'!$P$16,ROUND(ROUND('Δρομολόγια'!$F$16*100,0)*(100-$A89)/100,0)/100*(1-'Δρομολόγια'!$S$16)-'Δρομολόγια'!$R$16,"")</f>
        <v/>
      </c>
      <c r="M89" s="20">
        <f>IF('Δρομολόγια'!$P$17,ROUND(ROUND('Δρομολόγια'!$F$17*100,0)*(100-$A89)/100,0)/100*(1-'Δρομολόγια'!$S$17)-'Δρομολόγια'!$R$17,"")</f>
        <v/>
      </c>
      <c r="N89" s="20">
        <f>IF('Δρομολόγια'!$P$18,ROUND(ROUND('Δρομολόγια'!$F$18*100,0)*(100-$A89)/100,0)/100*(1-'Δρομολόγια'!$S$18)-'Δρομολόγια'!$R$18,"")</f>
        <v/>
      </c>
      <c r="O89" s="20">
        <f>IF('Δρομολόγια'!$P$19,ROUND(ROUND('Δρομολόγια'!$F$19*100,0)*(100-$A89)/100,0)/100*(1-'Δρομολόγια'!$S$19)-'Δρομολόγια'!$R$19,"")</f>
        <v/>
      </c>
      <c r="P89" s="20">
        <f>IF('Δρομολόγια'!$P$20,ROUND(ROUND('Δρομολόγια'!$F$20*100,0)*(100-$A89)/100,0)/100*(1-'Δρομολόγια'!$S$20)-'Δρομολόγια'!$R$20,"")</f>
        <v/>
      </c>
      <c r="Q89" t="inlineStr">
        <is>
          <t>ογδόντα τρία</t>
        </is>
      </c>
    </row>
    <row r="90">
      <c r="A90" t="n">
        <v>84</v>
      </c>
      <c r="B90" s="20">
        <f>IF('Δρομολόγια'!$P$6,ROUND(ROUND('Δρομολόγια'!$F$6*100,0)*(100-$A90)/100,0)/100*(1-'Δρομολόγια'!$S$6)-'Δρομολόγια'!$R$6,"")</f>
        <v/>
      </c>
      <c r="C90" s="20">
        <f>IF('Δρομολόγια'!$P$7,ROUND(ROUND('Δρομολόγια'!$F$7*100,0)*(100-$A90)/100,0)/100*(1-'Δρομολόγια'!$S$7)-'Δρομολόγια'!$R$7,"")</f>
        <v/>
      </c>
      <c r="D90" s="20">
        <f>IF('Δρομολόγια'!$P$8,ROUND(ROUND('Δρομολόγια'!$F$8*100,0)*(100-$A90)/100,0)/100*(1-'Δρομολόγια'!$S$8)-'Δρομολόγια'!$R$8,"")</f>
        <v/>
      </c>
      <c r="E90" s="20">
        <f>IF('Δρομολόγια'!$P$9,ROUND(ROUND('Δρομολόγια'!$F$9*100,0)*(100-$A90)/100,0)/100*(1-'Δρομολόγια'!$S$9)-'Δρομολόγια'!$R$9,"")</f>
        <v/>
      </c>
      <c r="F90" s="20">
        <f>IF('Δρομολόγια'!$P$10,ROUND(ROUND('Δρομολόγια'!$F$10*100,0)*(100-$A90)/100,0)/100*(1-'Δρομολόγια'!$S$10)-'Δρομολόγια'!$R$10,"")</f>
        <v/>
      </c>
      <c r="G90" s="20">
        <f>IF('Δρομολόγια'!$P$11,ROUND(ROUND('Δρομολόγια'!$F$11*100,0)*(100-$A90)/100,0)/100*(1-'Δρομολόγια'!$S$11)-'Δρομολόγια'!$R$11,"")</f>
        <v/>
      </c>
      <c r="H90" s="20">
        <f>IF('Δρομολόγια'!$P$12,ROUND(ROUND('Δρομολόγια'!$F$12*100,0)*(100-$A90)/100,0)/100*(1-'Δρομολόγια'!$S$12)-'Δρομολόγια'!$R$12,"")</f>
        <v/>
      </c>
      <c r="I90" s="20">
        <f>IF('Δρομολόγια'!$P$13,ROUND(ROUND('Δρομολόγια'!$F$13*100,0)*(100-$A90)/100,0)/100*(1-'Δρομολόγια'!$S$13)-'Δρομολόγια'!$R$13,"")</f>
        <v/>
      </c>
      <c r="J90" s="20">
        <f>IF('Δρομολόγια'!$P$14,ROUND(ROUND('Δρομολόγια'!$F$14*100,0)*(100-$A90)/100,0)/100*(1-'Δρομολόγια'!$S$14)-'Δρομολόγια'!$R$14,"")</f>
        <v/>
      </c>
      <c r="K90" s="20">
        <f>IF('Δρομολόγια'!$P$15,ROUND(ROUND('Δρομολόγια'!$F$15*100,0)*(100-$A90)/100,0)/100*(1-'Δρομολόγια'!$S$15)-'Δρομολόγια'!$R$15,"")</f>
        <v/>
      </c>
      <c r="L90" s="20">
        <f>IF('Δρομολόγια'!$P$16,ROUND(ROUND('Δρομολόγια'!$F$16*100,0)*(100-$A90)/100,0)/100*(1-'Δρομολόγια'!$S$16)-'Δρομολόγια'!$R$16,"")</f>
        <v/>
      </c>
      <c r="M90" s="20">
        <f>IF('Δρομολόγια'!$P$17,ROUND(ROUND('Δρομολόγια'!$F$17*100,0)*(100-$A90)/100,0)/100*(1-'Δρομολόγια'!$S$17)-'Δρομολόγια'!$R$17,"")</f>
        <v/>
      </c>
      <c r="N90" s="20">
        <f>IF('Δρομολόγια'!$P$18,ROUND(ROUND('Δρομολόγια'!$F$18*100,0)*(100-$A90)/100,0)/100*(1-'Δρομολόγια'!$S$18)-'Δρομολόγια'!$R$18,"")</f>
        <v/>
      </c>
      <c r="O90" s="20">
        <f>IF('Δρομολόγια'!$P$19,ROUND(ROUND('Δρομολόγια'!$F$19*100,0)*(100-$A90)/100,0)/100*(1-'Δρομολόγια'!$S$19)-'Δρομολόγια'!$R$19,"")</f>
        <v/>
      </c>
      <c r="P90" s="20">
        <f>IF('Δρομολόγια'!$P$20,ROUND(ROUND('Δρομολόγια'!$F$20*100,0)*(100-$A90)/100,0)/100*(1-'Δρομολόγια'!$S$20)-'Δρομολόγια'!$R$20,"")</f>
        <v/>
      </c>
      <c r="Q90" t="inlineStr">
        <is>
          <t>ογδόντα τέσσερα</t>
        </is>
      </c>
    </row>
    <row r="91">
      <c r="A91" t="n">
        <v>85</v>
      </c>
      <c r="B91" s="20">
        <f>IF('Δρομολόγια'!$P$6,ROUND(ROUND('Δρομολόγια'!$F$6*100,0)*(100-$A91)/100,0)/100*(1-'Δρομολόγια'!$S$6)-'Δρομολόγια'!$R$6,"")</f>
        <v/>
      </c>
      <c r="C91" s="20">
        <f>IF('Δρομολόγια'!$P$7,ROUND(ROUND('Δρομολόγια'!$F$7*100,0)*(100-$A91)/100,0)/100*(1-'Δρομολόγια'!$S$7)-'Δρομολόγια'!$R$7,"")</f>
        <v/>
      </c>
      <c r="D91" s="20">
        <f>IF('Δρομολόγια'!$P$8,ROUND(ROUND('Δρομολόγια'!$F$8*100,0)*(100-$A91)/100,0)/100*(1-'Δρομολόγια'!$S$8)-'Δρομολόγια'!$R$8,"")</f>
        <v/>
      </c>
      <c r="E91" s="20">
        <f>IF('Δρομολόγια'!$P$9,ROUND(ROUND('Δρομολόγια'!$F$9*100,0)*(100-$A91)/100,0)/100*(1-'Δρομολόγια'!$S$9)-'Δρομολόγια'!$R$9,"")</f>
        <v/>
      </c>
      <c r="F91" s="20">
        <f>IF('Δρομολόγια'!$P$10,ROUND(ROUND('Δρομολόγια'!$F$10*100,0)*(100-$A91)/100,0)/100*(1-'Δρομολόγια'!$S$10)-'Δρομολόγια'!$R$10,"")</f>
        <v/>
      </c>
      <c r="G91" s="20">
        <f>IF('Δρομολόγια'!$P$11,ROUND(ROUND('Δρομολόγια'!$F$11*100,0)*(100-$A91)/100,0)/100*(1-'Δρομολόγια'!$S$11)-'Δρομολόγια'!$R$11,"")</f>
        <v/>
      </c>
      <c r="H91" s="20">
        <f>IF('Δρομολόγια'!$P$12,ROUND(ROUND('Δρομολόγια'!$F$12*100,0)*(100-$A91)/100,0)/100*(1-'Δρομολόγια'!$S$12)-'Δρομολόγια'!$R$12,"")</f>
        <v/>
      </c>
      <c r="I91" s="20">
        <f>IF('Δρομολόγια'!$P$13,ROUND(ROUND('Δρομολόγια'!$F$13*100,0)*(100-$A91)/100,0)/100*(1-'Δρομολόγια'!$S$13)-'Δρομολόγια'!$R$13,"")</f>
        <v/>
      </c>
      <c r="J91" s="20">
        <f>IF('Δρομολόγια'!$P$14,ROUND(ROUND('Δρομολόγια'!$F$14*100,0)*(100-$A91)/100,0)/100*(1-'Δρομολόγια'!$S$14)-'Δρομολόγια'!$R$14,"")</f>
        <v/>
      </c>
      <c r="K91" s="20">
        <f>IF('Δρομολόγια'!$P$15,ROUND(ROUND('Δρομολόγια'!$F$15*100,0)*(100-$A91)/100,0)/100*(1-'Δρομολόγια'!$S$15)-'Δρομολόγια'!$R$15,"")</f>
        <v/>
      </c>
      <c r="L91" s="20">
        <f>IF('Δρομολόγια'!$P$16,ROUND(ROUND('Δρομολόγια'!$F$16*100,0)*(100-$A91)/100,0)/100*(1-'Δρομολόγια'!$S$16)-'Δρομολόγια'!$R$16,"")</f>
        <v/>
      </c>
      <c r="M91" s="20">
        <f>IF('Δρομολόγια'!$P$17,ROUND(ROUND('Δρομολόγια'!$F$17*100,0)*(100-$A91)/100,0)/100*(1-'Δρομολόγια'!$S$17)-'Δρομολόγια'!$R$17,"")</f>
        <v/>
      </c>
      <c r="N91" s="20">
        <f>IF('Δρομολόγια'!$P$18,ROUND(ROUND('Δρομολόγια'!$F$18*100,0)*(100-$A91)/100,0)/100*(1-'Δρομολόγια'!$S$18)-'Δρομολόγια'!$R$18,"")</f>
        <v/>
      </c>
      <c r="O91" s="20">
        <f>IF('Δρομολόγια'!$P$19,ROUND(ROUND('Δρομολόγια'!$F$19*100,0)*(100-$A91)/100,0)/100*(1-'Δρομολόγια'!$S$19)-'Δρομολόγια'!$R$19,"")</f>
        <v/>
      </c>
      <c r="P91" s="20">
        <f>IF('Δρομολόγια'!$P$20,ROUND(ROUND('Δρομολόγια'!$F$20*100,0)*(100-$A91)/100,0)/100*(1-'Δρομολόγια'!$S$20)-'Δρομολόγια'!$R$20,"")</f>
        <v/>
      </c>
      <c r="Q91" t="inlineStr">
        <is>
          <t>ογδόντα πέντε</t>
        </is>
      </c>
    </row>
    <row r="92">
      <c r="A92" t="n">
        <v>86</v>
      </c>
      <c r="B92" s="20">
        <f>IF('Δρομολόγια'!$P$6,ROUND(ROUND('Δρομολόγια'!$F$6*100,0)*(100-$A92)/100,0)/100*(1-'Δρομολόγια'!$S$6)-'Δρομολόγια'!$R$6,"")</f>
        <v/>
      </c>
      <c r="C92" s="20">
        <f>IF('Δρομολόγια'!$P$7,ROUND(ROUND('Δρομολόγια'!$F$7*100,0)*(100-$A92)/100,0)/100*(1-'Δρομολόγια'!$S$7)-'Δρομολόγια'!$R$7,"")</f>
        <v/>
      </c>
      <c r="D92" s="20">
        <f>IF('Δρομολόγια'!$P$8,ROUND(ROUND('Δρομολόγια'!$F$8*100,0)*(100-$A92)/100,0)/100*(1-'Δρομολόγια'!$S$8)-'Δρομολόγια'!$R$8,"")</f>
        <v/>
      </c>
      <c r="E92" s="20">
        <f>IF('Δρομολόγια'!$P$9,ROUND(ROUND('Δρομολόγια'!$F$9*100,0)*(100-$A92)/100,0)/100*(1-'Δρομολόγια'!$S$9)-'Δρομολόγια'!$R$9,"")</f>
        <v/>
      </c>
      <c r="F92" s="20">
        <f>IF('Δρομολόγια'!$P$10,ROUND(ROUND('Δρομολόγια'!$F$10*100,0)*(100-$A92)/100,0)/100*(1-'Δρομολόγια'!$S$10)-'Δρομολόγια'!$R$10,"")</f>
        <v/>
      </c>
      <c r="G92" s="20">
        <f>IF('Δρομολόγια'!$P$11,ROUND(ROUND('Δρομολόγια'!$F$11*100,0)*(100-$A92)/100,0)/100*(1-'Δρομολόγια'!$S$11)-'Δρομολόγια'!$R$11,"")</f>
        <v/>
      </c>
      <c r="H92" s="20">
        <f>IF('Δρομολόγια'!$P$12,ROUND(ROUND('Δρομολόγια'!$F$12*100,0)*(100-$A92)/100,0)/100*(1-'Δρομολόγια'!$S$12)-'Δρομολόγια'!$R$12,"")</f>
        <v/>
      </c>
      <c r="I92" s="20">
        <f>IF('Δρομολόγια'!$P$13,ROUND(ROUND('Δρομολόγια'!$F$13*100,0)*(100-$A92)/100,0)/100*(1-'Δρομολόγια'!$S$13)-'Δρομολόγια'!$R$13,"")</f>
        <v/>
      </c>
      <c r="J92" s="20">
        <f>IF('Δρομολόγια'!$P$14,ROUND(ROUND('Δρομολόγια'!$F$14*100,0)*(100-$A92)/100,0)/100*(1-'Δρομολόγια'!$S$14)-'Δρομολόγια'!$R$14,"")</f>
        <v/>
      </c>
      <c r="K92" s="20">
        <f>IF('Δρομολόγια'!$P$15,ROUND(ROUND('Δρομολόγια'!$F$15*100,0)*(100-$A92)/100,0)/100*(1-'Δρομολόγια'!$S$15)-'Δρομολόγια'!$R$15,"")</f>
        <v/>
      </c>
      <c r="L92" s="20">
        <f>IF('Δρομολόγια'!$P$16,ROUND(ROUND('Δρομολόγια'!$F$16*100,0)*(100-$A92)/100,0)/100*(1-'Δρομολόγια'!$S$16)-'Δρομολόγια'!$R$16,"")</f>
        <v/>
      </c>
      <c r="M92" s="20">
        <f>IF('Δρομολόγια'!$P$17,ROUND(ROUND('Δρομολόγια'!$F$17*100,0)*(100-$A92)/100,0)/100*(1-'Δρομολόγια'!$S$17)-'Δρομολόγια'!$R$17,"")</f>
        <v/>
      </c>
      <c r="N92" s="20">
        <f>IF('Δρομολόγια'!$P$18,ROUND(ROUND('Δρομολόγια'!$F$18*100,0)*(100-$A92)/100,0)/100*(1-'Δρομολόγια'!$S$18)-'Δρομολόγια'!$R$18,"")</f>
        <v/>
      </c>
      <c r="O92" s="20">
        <f>IF('Δρομολόγια'!$P$19,ROUND(ROUND('Δρομολόγια'!$F$19*100,0)*(100-$A92)/100,0)/100*(1-'Δρομολόγια'!$S$19)-'Δρομολόγια'!$R$19,"")</f>
        <v/>
      </c>
      <c r="P92" s="20">
        <f>IF('Δρομολόγια'!$P$20,ROUND(ROUND('Δρομολόγια'!$F$20*100,0)*(100-$A92)/100,0)/100*(1-'Δρομολόγια'!$S$20)-'Δρομολόγια'!$R$20,"")</f>
        <v/>
      </c>
      <c r="Q92" t="inlineStr">
        <is>
          <t>ογδόντα έξι</t>
        </is>
      </c>
    </row>
    <row r="93">
      <c r="A93" t="n">
        <v>87</v>
      </c>
      <c r="B93" s="20">
        <f>IF('Δρομολόγια'!$P$6,ROUND(ROUND('Δρομολόγια'!$F$6*100,0)*(100-$A93)/100,0)/100*(1-'Δρομολόγια'!$S$6)-'Δρομολόγια'!$R$6,"")</f>
        <v/>
      </c>
      <c r="C93" s="20">
        <f>IF('Δρομολόγια'!$P$7,ROUND(ROUND('Δρομολόγια'!$F$7*100,0)*(100-$A93)/100,0)/100*(1-'Δρομολόγια'!$S$7)-'Δρομολόγια'!$R$7,"")</f>
        <v/>
      </c>
      <c r="D93" s="20">
        <f>IF('Δρομολόγια'!$P$8,ROUND(ROUND('Δρομολόγια'!$F$8*100,0)*(100-$A93)/100,0)/100*(1-'Δρομολόγια'!$S$8)-'Δρομολόγια'!$R$8,"")</f>
        <v/>
      </c>
      <c r="E93" s="20">
        <f>IF('Δρομολόγια'!$P$9,ROUND(ROUND('Δρομολόγια'!$F$9*100,0)*(100-$A93)/100,0)/100*(1-'Δρομολόγια'!$S$9)-'Δρομολόγια'!$R$9,"")</f>
        <v/>
      </c>
      <c r="F93" s="20">
        <f>IF('Δρομολόγια'!$P$10,ROUND(ROUND('Δρομολόγια'!$F$10*100,0)*(100-$A93)/100,0)/100*(1-'Δρομολόγια'!$S$10)-'Δρομολόγια'!$R$10,"")</f>
        <v/>
      </c>
      <c r="G93" s="20">
        <f>IF('Δρομολόγια'!$P$11,ROUND(ROUND('Δρομολόγια'!$F$11*100,0)*(100-$A93)/100,0)/100*(1-'Δρομολόγια'!$S$11)-'Δρομολόγια'!$R$11,"")</f>
        <v/>
      </c>
      <c r="H93" s="20">
        <f>IF('Δρομολόγια'!$P$12,ROUND(ROUND('Δρομολόγια'!$F$12*100,0)*(100-$A93)/100,0)/100*(1-'Δρομολόγια'!$S$12)-'Δρομολόγια'!$R$12,"")</f>
        <v/>
      </c>
      <c r="I93" s="20">
        <f>IF('Δρομολόγια'!$P$13,ROUND(ROUND('Δρομολόγια'!$F$13*100,0)*(100-$A93)/100,0)/100*(1-'Δρομολόγια'!$S$13)-'Δρομολόγια'!$R$13,"")</f>
        <v/>
      </c>
      <c r="J93" s="20">
        <f>IF('Δρομολόγια'!$P$14,ROUND(ROUND('Δρομολόγια'!$F$14*100,0)*(100-$A93)/100,0)/100*(1-'Δρομολόγια'!$S$14)-'Δρομολόγια'!$R$14,"")</f>
        <v/>
      </c>
      <c r="K93" s="20">
        <f>IF('Δρομολόγια'!$P$15,ROUND(ROUND('Δρομολόγια'!$F$15*100,0)*(100-$A93)/100,0)/100*(1-'Δρομολόγια'!$S$15)-'Δρομολόγια'!$R$15,"")</f>
        <v/>
      </c>
      <c r="L93" s="20">
        <f>IF('Δρομολόγια'!$P$16,ROUND(ROUND('Δρομολόγια'!$F$16*100,0)*(100-$A93)/100,0)/100*(1-'Δρομολόγια'!$S$16)-'Δρομολόγια'!$R$16,"")</f>
        <v/>
      </c>
      <c r="M93" s="20">
        <f>IF('Δρομολόγια'!$P$17,ROUND(ROUND('Δρομολόγια'!$F$17*100,0)*(100-$A93)/100,0)/100*(1-'Δρομολόγια'!$S$17)-'Δρομολόγια'!$R$17,"")</f>
        <v/>
      </c>
      <c r="N93" s="20">
        <f>IF('Δρομολόγια'!$P$18,ROUND(ROUND('Δρομολόγια'!$F$18*100,0)*(100-$A93)/100,0)/100*(1-'Δρομολόγια'!$S$18)-'Δρομολόγια'!$R$18,"")</f>
        <v/>
      </c>
      <c r="O93" s="20">
        <f>IF('Δρομολόγια'!$P$19,ROUND(ROUND('Δρομολόγια'!$F$19*100,0)*(100-$A93)/100,0)/100*(1-'Δρομολόγια'!$S$19)-'Δρομολόγια'!$R$19,"")</f>
        <v/>
      </c>
      <c r="P93" s="20">
        <f>IF('Δρομολόγια'!$P$20,ROUND(ROUND('Δρομολόγια'!$F$20*100,0)*(100-$A93)/100,0)/100*(1-'Δρομολόγια'!$S$20)-'Δρομολόγια'!$R$20,"")</f>
        <v/>
      </c>
      <c r="Q93" t="inlineStr">
        <is>
          <t>ογδόντα επτά</t>
        </is>
      </c>
    </row>
    <row r="94">
      <c r="A94" t="n">
        <v>88</v>
      </c>
      <c r="B94" s="20">
        <f>IF('Δρομολόγια'!$P$6,ROUND(ROUND('Δρομολόγια'!$F$6*100,0)*(100-$A94)/100,0)/100*(1-'Δρομολόγια'!$S$6)-'Δρομολόγια'!$R$6,"")</f>
        <v/>
      </c>
      <c r="C94" s="20">
        <f>IF('Δρομολόγια'!$P$7,ROUND(ROUND('Δρομολόγια'!$F$7*100,0)*(100-$A94)/100,0)/100*(1-'Δρομολόγια'!$S$7)-'Δρομολόγια'!$R$7,"")</f>
        <v/>
      </c>
      <c r="D94" s="20">
        <f>IF('Δρομολόγια'!$P$8,ROUND(ROUND('Δρομολόγια'!$F$8*100,0)*(100-$A94)/100,0)/100*(1-'Δρομολόγια'!$S$8)-'Δρομολόγια'!$R$8,"")</f>
        <v/>
      </c>
      <c r="E94" s="20">
        <f>IF('Δρομολόγια'!$P$9,ROUND(ROUND('Δρομολόγια'!$F$9*100,0)*(100-$A94)/100,0)/100*(1-'Δρομολόγια'!$S$9)-'Δρομολόγια'!$R$9,"")</f>
        <v/>
      </c>
      <c r="F94" s="20">
        <f>IF('Δρομολόγια'!$P$10,ROUND(ROUND('Δρομολόγια'!$F$10*100,0)*(100-$A94)/100,0)/100*(1-'Δρομολόγια'!$S$10)-'Δρομολόγια'!$R$10,"")</f>
        <v/>
      </c>
      <c r="G94" s="20">
        <f>IF('Δρομολόγια'!$P$11,ROUND(ROUND('Δρομολόγια'!$F$11*100,0)*(100-$A94)/100,0)/100*(1-'Δρομολόγια'!$S$11)-'Δρομολόγια'!$R$11,"")</f>
        <v/>
      </c>
      <c r="H94" s="20">
        <f>IF('Δρομολόγια'!$P$12,ROUND(ROUND('Δρομολόγια'!$F$12*100,0)*(100-$A94)/100,0)/100*(1-'Δρομολόγια'!$S$12)-'Δρομολόγια'!$R$12,"")</f>
        <v/>
      </c>
      <c r="I94" s="20">
        <f>IF('Δρομολόγια'!$P$13,ROUND(ROUND('Δρομολόγια'!$F$13*100,0)*(100-$A94)/100,0)/100*(1-'Δρομολόγια'!$S$13)-'Δρομολόγια'!$R$13,"")</f>
        <v/>
      </c>
      <c r="J94" s="20">
        <f>IF('Δρομολόγια'!$P$14,ROUND(ROUND('Δρομολόγια'!$F$14*100,0)*(100-$A94)/100,0)/100*(1-'Δρομολόγια'!$S$14)-'Δρομολόγια'!$R$14,"")</f>
        <v/>
      </c>
      <c r="K94" s="20">
        <f>IF('Δρομολόγια'!$P$15,ROUND(ROUND('Δρομολόγια'!$F$15*100,0)*(100-$A94)/100,0)/100*(1-'Δρομολόγια'!$S$15)-'Δρομολόγια'!$R$15,"")</f>
        <v/>
      </c>
      <c r="L94" s="20">
        <f>IF('Δρομολόγια'!$P$16,ROUND(ROUND('Δρομολόγια'!$F$16*100,0)*(100-$A94)/100,0)/100*(1-'Δρομολόγια'!$S$16)-'Δρομολόγια'!$R$16,"")</f>
        <v/>
      </c>
      <c r="M94" s="20">
        <f>IF('Δρομολόγια'!$P$17,ROUND(ROUND('Δρομολόγια'!$F$17*100,0)*(100-$A94)/100,0)/100*(1-'Δρομολόγια'!$S$17)-'Δρομολόγια'!$R$17,"")</f>
        <v/>
      </c>
      <c r="N94" s="20">
        <f>IF('Δρομολόγια'!$P$18,ROUND(ROUND('Δρομολόγια'!$F$18*100,0)*(100-$A94)/100,0)/100*(1-'Δρομολόγια'!$S$18)-'Δρομολόγια'!$R$18,"")</f>
        <v/>
      </c>
      <c r="O94" s="20">
        <f>IF('Δρομολόγια'!$P$19,ROUND(ROUND('Δρομολόγια'!$F$19*100,0)*(100-$A94)/100,0)/100*(1-'Δρομολόγια'!$S$19)-'Δρομολόγια'!$R$19,"")</f>
        <v/>
      </c>
      <c r="P94" s="20">
        <f>IF('Δρομολόγια'!$P$20,ROUND(ROUND('Δρομολόγια'!$F$20*100,0)*(100-$A94)/100,0)/100*(1-'Δρομολόγια'!$S$20)-'Δρομολόγια'!$R$20,"")</f>
        <v/>
      </c>
      <c r="Q94" t="inlineStr">
        <is>
          <t>ογδόντα οκτώ</t>
        </is>
      </c>
    </row>
    <row r="95">
      <c r="A95" t="n">
        <v>89</v>
      </c>
      <c r="B95" s="20">
        <f>IF('Δρομολόγια'!$P$6,ROUND(ROUND('Δρομολόγια'!$F$6*100,0)*(100-$A95)/100,0)/100*(1-'Δρομολόγια'!$S$6)-'Δρομολόγια'!$R$6,"")</f>
        <v/>
      </c>
      <c r="C95" s="20">
        <f>IF('Δρομολόγια'!$P$7,ROUND(ROUND('Δρομολόγια'!$F$7*100,0)*(100-$A95)/100,0)/100*(1-'Δρομολόγια'!$S$7)-'Δρομολόγια'!$R$7,"")</f>
        <v/>
      </c>
      <c r="D95" s="20">
        <f>IF('Δρομολόγια'!$P$8,ROUND(ROUND('Δρομολόγια'!$F$8*100,0)*(100-$A95)/100,0)/100*(1-'Δρομολόγια'!$S$8)-'Δρομολόγια'!$R$8,"")</f>
        <v/>
      </c>
      <c r="E95" s="20">
        <f>IF('Δρομολόγια'!$P$9,ROUND(ROUND('Δρομολόγια'!$F$9*100,0)*(100-$A95)/100,0)/100*(1-'Δρομολόγια'!$S$9)-'Δρομολόγια'!$R$9,"")</f>
        <v/>
      </c>
      <c r="F95" s="20">
        <f>IF('Δρομολόγια'!$P$10,ROUND(ROUND('Δρομολόγια'!$F$10*100,0)*(100-$A95)/100,0)/100*(1-'Δρομολόγια'!$S$10)-'Δρομολόγια'!$R$10,"")</f>
        <v/>
      </c>
      <c r="G95" s="20">
        <f>IF('Δρομολόγια'!$P$11,ROUND(ROUND('Δρομολόγια'!$F$11*100,0)*(100-$A95)/100,0)/100*(1-'Δρομολόγια'!$S$11)-'Δρομολόγια'!$R$11,"")</f>
        <v/>
      </c>
      <c r="H95" s="20">
        <f>IF('Δρομολόγια'!$P$12,ROUND(ROUND('Δρομολόγια'!$F$12*100,0)*(100-$A95)/100,0)/100*(1-'Δρομολόγια'!$S$12)-'Δρομολόγια'!$R$12,"")</f>
        <v/>
      </c>
      <c r="I95" s="20">
        <f>IF('Δρομολόγια'!$P$13,ROUND(ROUND('Δρομολόγια'!$F$13*100,0)*(100-$A95)/100,0)/100*(1-'Δρομολόγια'!$S$13)-'Δρομολόγια'!$R$13,"")</f>
        <v/>
      </c>
      <c r="J95" s="20">
        <f>IF('Δρομολόγια'!$P$14,ROUND(ROUND('Δρομολόγια'!$F$14*100,0)*(100-$A95)/100,0)/100*(1-'Δρομολόγια'!$S$14)-'Δρομολόγια'!$R$14,"")</f>
        <v/>
      </c>
      <c r="K95" s="20">
        <f>IF('Δρομολόγια'!$P$15,ROUND(ROUND('Δρομολόγια'!$F$15*100,0)*(100-$A95)/100,0)/100*(1-'Δρομολόγια'!$S$15)-'Δρομολόγια'!$R$15,"")</f>
        <v/>
      </c>
      <c r="L95" s="20">
        <f>IF('Δρομολόγια'!$P$16,ROUND(ROUND('Δρομολόγια'!$F$16*100,0)*(100-$A95)/100,0)/100*(1-'Δρομολόγια'!$S$16)-'Δρομολόγια'!$R$16,"")</f>
        <v/>
      </c>
      <c r="M95" s="20">
        <f>IF('Δρομολόγια'!$P$17,ROUND(ROUND('Δρομολόγια'!$F$17*100,0)*(100-$A95)/100,0)/100*(1-'Δρομολόγια'!$S$17)-'Δρομολόγια'!$R$17,"")</f>
        <v/>
      </c>
      <c r="N95" s="20">
        <f>IF('Δρομολόγια'!$P$18,ROUND(ROUND('Δρομολόγια'!$F$18*100,0)*(100-$A95)/100,0)/100*(1-'Δρομολόγια'!$S$18)-'Δρομολόγια'!$R$18,"")</f>
        <v/>
      </c>
      <c r="O95" s="20">
        <f>IF('Δρομολόγια'!$P$19,ROUND(ROUND('Δρομολόγια'!$F$19*100,0)*(100-$A95)/100,0)/100*(1-'Δρομολόγια'!$S$19)-'Δρομολόγια'!$R$19,"")</f>
        <v/>
      </c>
      <c r="P95" s="20">
        <f>IF('Δρομολόγια'!$P$20,ROUND(ROUND('Δρομολόγια'!$F$20*100,0)*(100-$A95)/100,0)/100*(1-'Δρομολόγια'!$S$20)-'Δρομολόγια'!$R$20,"")</f>
        <v/>
      </c>
      <c r="Q95" t="inlineStr">
        <is>
          <t>ογδόντα εννέα</t>
        </is>
      </c>
    </row>
    <row r="96">
      <c r="A96" t="n">
        <v>90</v>
      </c>
      <c r="B96" s="20">
        <f>IF('Δρομολόγια'!$P$6,ROUND(ROUND('Δρομολόγια'!$F$6*100,0)*(100-$A96)/100,0)/100*(1-'Δρομολόγια'!$S$6)-'Δρομολόγια'!$R$6,"")</f>
        <v/>
      </c>
      <c r="C96" s="20">
        <f>IF('Δρομολόγια'!$P$7,ROUND(ROUND('Δρομολόγια'!$F$7*100,0)*(100-$A96)/100,0)/100*(1-'Δρομολόγια'!$S$7)-'Δρομολόγια'!$R$7,"")</f>
        <v/>
      </c>
      <c r="D96" s="20">
        <f>IF('Δρομολόγια'!$P$8,ROUND(ROUND('Δρομολόγια'!$F$8*100,0)*(100-$A96)/100,0)/100*(1-'Δρομολόγια'!$S$8)-'Δρομολόγια'!$R$8,"")</f>
        <v/>
      </c>
      <c r="E96" s="20">
        <f>IF('Δρομολόγια'!$P$9,ROUND(ROUND('Δρομολόγια'!$F$9*100,0)*(100-$A96)/100,0)/100*(1-'Δρομολόγια'!$S$9)-'Δρομολόγια'!$R$9,"")</f>
        <v/>
      </c>
      <c r="F96" s="20">
        <f>IF('Δρομολόγια'!$P$10,ROUND(ROUND('Δρομολόγια'!$F$10*100,0)*(100-$A96)/100,0)/100*(1-'Δρομολόγια'!$S$10)-'Δρομολόγια'!$R$10,"")</f>
        <v/>
      </c>
      <c r="G96" s="20">
        <f>IF('Δρομολόγια'!$P$11,ROUND(ROUND('Δρομολόγια'!$F$11*100,0)*(100-$A96)/100,0)/100*(1-'Δρομολόγια'!$S$11)-'Δρομολόγια'!$R$11,"")</f>
        <v/>
      </c>
      <c r="H96" s="20">
        <f>IF('Δρομολόγια'!$P$12,ROUND(ROUND('Δρομολόγια'!$F$12*100,0)*(100-$A96)/100,0)/100*(1-'Δρομολόγια'!$S$12)-'Δρομολόγια'!$R$12,"")</f>
        <v/>
      </c>
      <c r="I96" s="20">
        <f>IF('Δρομολόγια'!$P$13,ROUND(ROUND('Δρομολόγια'!$F$13*100,0)*(100-$A96)/100,0)/100*(1-'Δρομολόγια'!$S$13)-'Δρομολόγια'!$R$13,"")</f>
        <v/>
      </c>
      <c r="J96" s="20">
        <f>IF('Δρομολόγια'!$P$14,ROUND(ROUND('Δρομολόγια'!$F$14*100,0)*(100-$A96)/100,0)/100*(1-'Δρομολόγια'!$S$14)-'Δρομολόγια'!$R$14,"")</f>
        <v/>
      </c>
      <c r="K96" s="20">
        <f>IF('Δρομολόγια'!$P$15,ROUND(ROUND('Δρομολόγια'!$F$15*100,0)*(100-$A96)/100,0)/100*(1-'Δρομολόγια'!$S$15)-'Δρομολόγια'!$R$15,"")</f>
        <v/>
      </c>
      <c r="L96" s="20">
        <f>IF('Δρομολόγια'!$P$16,ROUND(ROUND('Δρομολόγια'!$F$16*100,0)*(100-$A96)/100,0)/100*(1-'Δρομολόγια'!$S$16)-'Δρομολόγια'!$R$16,"")</f>
        <v/>
      </c>
      <c r="M96" s="20">
        <f>IF('Δρομολόγια'!$P$17,ROUND(ROUND('Δρομολόγια'!$F$17*100,0)*(100-$A96)/100,0)/100*(1-'Δρομολόγια'!$S$17)-'Δρομολόγια'!$R$17,"")</f>
        <v/>
      </c>
      <c r="N96" s="20">
        <f>IF('Δρομολόγια'!$P$18,ROUND(ROUND('Δρομολόγια'!$F$18*100,0)*(100-$A96)/100,0)/100*(1-'Δρομολόγια'!$S$18)-'Δρομολόγια'!$R$18,"")</f>
        <v/>
      </c>
      <c r="O96" s="20">
        <f>IF('Δρομολόγια'!$P$19,ROUND(ROUND('Δρομολόγια'!$F$19*100,0)*(100-$A96)/100,0)/100*(1-'Δρομολόγια'!$S$19)-'Δρομολόγια'!$R$19,"")</f>
        <v/>
      </c>
      <c r="P96" s="20">
        <f>IF('Δρομολόγια'!$P$20,ROUND(ROUND('Δρομολόγια'!$F$20*100,0)*(100-$A96)/100,0)/100*(1-'Δρομολόγια'!$S$20)-'Δρομολόγια'!$R$20,"")</f>
        <v/>
      </c>
      <c r="Q96" t="inlineStr">
        <is>
          <t>ενενήντα</t>
        </is>
      </c>
    </row>
    <row r="97">
      <c r="A97" t="n">
        <v>91</v>
      </c>
      <c r="B97" s="20">
        <f>IF('Δρομολόγια'!$P$6,ROUND(ROUND('Δρομολόγια'!$F$6*100,0)*(100-$A97)/100,0)/100*(1-'Δρομολόγια'!$S$6)-'Δρομολόγια'!$R$6,"")</f>
        <v/>
      </c>
      <c r="C97" s="20">
        <f>IF('Δρομολόγια'!$P$7,ROUND(ROUND('Δρομολόγια'!$F$7*100,0)*(100-$A97)/100,0)/100*(1-'Δρομολόγια'!$S$7)-'Δρομολόγια'!$R$7,"")</f>
        <v/>
      </c>
      <c r="D97" s="20">
        <f>IF('Δρομολόγια'!$P$8,ROUND(ROUND('Δρομολόγια'!$F$8*100,0)*(100-$A97)/100,0)/100*(1-'Δρομολόγια'!$S$8)-'Δρομολόγια'!$R$8,"")</f>
        <v/>
      </c>
      <c r="E97" s="20">
        <f>IF('Δρομολόγια'!$P$9,ROUND(ROUND('Δρομολόγια'!$F$9*100,0)*(100-$A97)/100,0)/100*(1-'Δρομολόγια'!$S$9)-'Δρομολόγια'!$R$9,"")</f>
        <v/>
      </c>
      <c r="F97" s="20">
        <f>IF('Δρομολόγια'!$P$10,ROUND(ROUND('Δρομολόγια'!$F$10*100,0)*(100-$A97)/100,0)/100*(1-'Δρομολόγια'!$S$10)-'Δρομολόγια'!$R$10,"")</f>
        <v/>
      </c>
      <c r="G97" s="20">
        <f>IF('Δρομολόγια'!$P$11,ROUND(ROUND('Δρομολόγια'!$F$11*100,0)*(100-$A97)/100,0)/100*(1-'Δρομολόγια'!$S$11)-'Δρομολόγια'!$R$11,"")</f>
        <v/>
      </c>
      <c r="H97" s="20">
        <f>IF('Δρομολόγια'!$P$12,ROUND(ROUND('Δρομολόγια'!$F$12*100,0)*(100-$A97)/100,0)/100*(1-'Δρομολόγια'!$S$12)-'Δρομολόγια'!$R$12,"")</f>
        <v/>
      </c>
      <c r="I97" s="20">
        <f>IF('Δρομολόγια'!$P$13,ROUND(ROUND('Δρομολόγια'!$F$13*100,0)*(100-$A97)/100,0)/100*(1-'Δρομολόγια'!$S$13)-'Δρομολόγια'!$R$13,"")</f>
        <v/>
      </c>
      <c r="J97" s="20">
        <f>IF('Δρομολόγια'!$P$14,ROUND(ROUND('Δρομολόγια'!$F$14*100,0)*(100-$A97)/100,0)/100*(1-'Δρομολόγια'!$S$14)-'Δρομολόγια'!$R$14,"")</f>
        <v/>
      </c>
      <c r="K97" s="20">
        <f>IF('Δρομολόγια'!$P$15,ROUND(ROUND('Δρομολόγια'!$F$15*100,0)*(100-$A97)/100,0)/100*(1-'Δρομολόγια'!$S$15)-'Δρομολόγια'!$R$15,"")</f>
        <v/>
      </c>
      <c r="L97" s="20">
        <f>IF('Δρομολόγια'!$P$16,ROUND(ROUND('Δρομολόγια'!$F$16*100,0)*(100-$A97)/100,0)/100*(1-'Δρομολόγια'!$S$16)-'Δρομολόγια'!$R$16,"")</f>
        <v/>
      </c>
      <c r="M97" s="20">
        <f>IF('Δρομολόγια'!$P$17,ROUND(ROUND('Δρομολόγια'!$F$17*100,0)*(100-$A97)/100,0)/100*(1-'Δρομολόγια'!$S$17)-'Δρομολόγια'!$R$17,"")</f>
        <v/>
      </c>
      <c r="N97" s="20">
        <f>IF('Δρομολόγια'!$P$18,ROUND(ROUND('Δρομολόγια'!$F$18*100,0)*(100-$A97)/100,0)/100*(1-'Δρομολόγια'!$S$18)-'Δρομολόγια'!$R$18,"")</f>
        <v/>
      </c>
      <c r="O97" s="20">
        <f>IF('Δρομολόγια'!$P$19,ROUND(ROUND('Δρομολόγια'!$F$19*100,0)*(100-$A97)/100,0)/100*(1-'Δρομολόγια'!$S$19)-'Δρομολόγια'!$R$19,"")</f>
        <v/>
      </c>
      <c r="P97" s="20">
        <f>IF('Δρομολόγια'!$P$20,ROUND(ROUND('Δρομολόγια'!$F$20*100,0)*(100-$A97)/100,0)/100*(1-'Δρομολόγια'!$S$20)-'Δρομολόγια'!$R$20,"")</f>
        <v/>
      </c>
      <c r="Q97" t="inlineStr">
        <is>
          <t>ενενήντα ένα</t>
        </is>
      </c>
    </row>
    <row r="98">
      <c r="A98" t="n">
        <v>92</v>
      </c>
      <c r="B98" s="20">
        <f>IF('Δρομολόγια'!$P$6,ROUND(ROUND('Δρομολόγια'!$F$6*100,0)*(100-$A98)/100,0)/100*(1-'Δρομολόγια'!$S$6)-'Δρομολόγια'!$R$6,"")</f>
        <v/>
      </c>
      <c r="C98" s="20">
        <f>IF('Δρομολόγια'!$P$7,ROUND(ROUND('Δρομολόγια'!$F$7*100,0)*(100-$A98)/100,0)/100*(1-'Δρομολόγια'!$S$7)-'Δρομολόγια'!$R$7,"")</f>
        <v/>
      </c>
      <c r="D98" s="20">
        <f>IF('Δρομολόγια'!$P$8,ROUND(ROUND('Δρομολόγια'!$F$8*100,0)*(100-$A98)/100,0)/100*(1-'Δρομολόγια'!$S$8)-'Δρομολόγια'!$R$8,"")</f>
        <v/>
      </c>
      <c r="E98" s="20">
        <f>IF('Δρομολόγια'!$P$9,ROUND(ROUND('Δρομολόγια'!$F$9*100,0)*(100-$A98)/100,0)/100*(1-'Δρομολόγια'!$S$9)-'Δρομολόγια'!$R$9,"")</f>
        <v/>
      </c>
      <c r="F98" s="20">
        <f>IF('Δρομολόγια'!$P$10,ROUND(ROUND('Δρομολόγια'!$F$10*100,0)*(100-$A98)/100,0)/100*(1-'Δρομολόγια'!$S$10)-'Δρομολόγια'!$R$10,"")</f>
        <v/>
      </c>
      <c r="G98" s="20">
        <f>IF('Δρομολόγια'!$P$11,ROUND(ROUND('Δρομολόγια'!$F$11*100,0)*(100-$A98)/100,0)/100*(1-'Δρομολόγια'!$S$11)-'Δρομολόγια'!$R$11,"")</f>
        <v/>
      </c>
      <c r="H98" s="20">
        <f>IF('Δρομολόγια'!$P$12,ROUND(ROUND('Δρομολόγια'!$F$12*100,0)*(100-$A98)/100,0)/100*(1-'Δρομολόγια'!$S$12)-'Δρομολόγια'!$R$12,"")</f>
        <v/>
      </c>
      <c r="I98" s="20">
        <f>IF('Δρομολόγια'!$P$13,ROUND(ROUND('Δρομολόγια'!$F$13*100,0)*(100-$A98)/100,0)/100*(1-'Δρομολόγια'!$S$13)-'Δρομολόγια'!$R$13,"")</f>
        <v/>
      </c>
      <c r="J98" s="20">
        <f>IF('Δρομολόγια'!$P$14,ROUND(ROUND('Δρομολόγια'!$F$14*100,0)*(100-$A98)/100,0)/100*(1-'Δρομολόγια'!$S$14)-'Δρομολόγια'!$R$14,"")</f>
        <v/>
      </c>
      <c r="K98" s="20">
        <f>IF('Δρομολόγια'!$P$15,ROUND(ROUND('Δρομολόγια'!$F$15*100,0)*(100-$A98)/100,0)/100*(1-'Δρομολόγια'!$S$15)-'Δρομολόγια'!$R$15,"")</f>
        <v/>
      </c>
      <c r="L98" s="20">
        <f>IF('Δρομολόγια'!$P$16,ROUND(ROUND('Δρομολόγια'!$F$16*100,0)*(100-$A98)/100,0)/100*(1-'Δρομολόγια'!$S$16)-'Δρομολόγια'!$R$16,"")</f>
        <v/>
      </c>
      <c r="M98" s="20">
        <f>IF('Δρομολόγια'!$P$17,ROUND(ROUND('Δρομολόγια'!$F$17*100,0)*(100-$A98)/100,0)/100*(1-'Δρομολόγια'!$S$17)-'Δρομολόγια'!$R$17,"")</f>
        <v/>
      </c>
      <c r="N98" s="20">
        <f>IF('Δρομολόγια'!$P$18,ROUND(ROUND('Δρομολόγια'!$F$18*100,0)*(100-$A98)/100,0)/100*(1-'Δρομολόγια'!$S$18)-'Δρομολόγια'!$R$18,"")</f>
        <v/>
      </c>
      <c r="O98" s="20">
        <f>IF('Δρομολόγια'!$P$19,ROUND(ROUND('Δρομολόγια'!$F$19*100,0)*(100-$A98)/100,0)/100*(1-'Δρομολόγια'!$S$19)-'Δρομολόγια'!$R$19,"")</f>
        <v/>
      </c>
      <c r="P98" s="20">
        <f>IF('Δρομολόγια'!$P$20,ROUND(ROUND('Δρομολόγια'!$F$20*100,0)*(100-$A98)/100,0)/100*(1-'Δρομολόγια'!$S$20)-'Δρομολόγια'!$R$20,"")</f>
        <v/>
      </c>
      <c r="Q98" t="inlineStr">
        <is>
          <t>ενενήντα δύο</t>
        </is>
      </c>
    </row>
    <row r="99">
      <c r="A99" t="n">
        <v>93</v>
      </c>
      <c r="B99" s="20">
        <f>IF('Δρομολόγια'!$P$6,ROUND(ROUND('Δρομολόγια'!$F$6*100,0)*(100-$A99)/100,0)/100*(1-'Δρομολόγια'!$S$6)-'Δρομολόγια'!$R$6,"")</f>
        <v/>
      </c>
      <c r="C99" s="20">
        <f>IF('Δρομολόγια'!$P$7,ROUND(ROUND('Δρομολόγια'!$F$7*100,0)*(100-$A99)/100,0)/100*(1-'Δρομολόγια'!$S$7)-'Δρομολόγια'!$R$7,"")</f>
        <v/>
      </c>
      <c r="D99" s="20">
        <f>IF('Δρομολόγια'!$P$8,ROUND(ROUND('Δρομολόγια'!$F$8*100,0)*(100-$A99)/100,0)/100*(1-'Δρομολόγια'!$S$8)-'Δρομολόγια'!$R$8,"")</f>
        <v/>
      </c>
      <c r="E99" s="20">
        <f>IF('Δρομολόγια'!$P$9,ROUND(ROUND('Δρομολόγια'!$F$9*100,0)*(100-$A99)/100,0)/100*(1-'Δρομολόγια'!$S$9)-'Δρομολόγια'!$R$9,"")</f>
        <v/>
      </c>
      <c r="F99" s="20">
        <f>IF('Δρομολόγια'!$P$10,ROUND(ROUND('Δρομολόγια'!$F$10*100,0)*(100-$A99)/100,0)/100*(1-'Δρομολόγια'!$S$10)-'Δρομολόγια'!$R$10,"")</f>
        <v/>
      </c>
      <c r="G99" s="20">
        <f>IF('Δρομολόγια'!$P$11,ROUND(ROUND('Δρομολόγια'!$F$11*100,0)*(100-$A99)/100,0)/100*(1-'Δρομολόγια'!$S$11)-'Δρομολόγια'!$R$11,"")</f>
        <v/>
      </c>
      <c r="H99" s="20">
        <f>IF('Δρομολόγια'!$P$12,ROUND(ROUND('Δρομολόγια'!$F$12*100,0)*(100-$A99)/100,0)/100*(1-'Δρομολόγια'!$S$12)-'Δρομολόγια'!$R$12,"")</f>
        <v/>
      </c>
      <c r="I99" s="20">
        <f>IF('Δρομολόγια'!$P$13,ROUND(ROUND('Δρομολόγια'!$F$13*100,0)*(100-$A99)/100,0)/100*(1-'Δρομολόγια'!$S$13)-'Δρομολόγια'!$R$13,"")</f>
        <v/>
      </c>
      <c r="J99" s="20">
        <f>IF('Δρομολόγια'!$P$14,ROUND(ROUND('Δρομολόγια'!$F$14*100,0)*(100-$A99)/100,0)/100*(1-'Δρομολόγια'!$S$14)-'Δρομολόγια'!$R$14,"")</f>
        <v/>
      </c>
      <c r="K99" s="20">
        <f>IF('Δρομολόγια'!$P$15,ROUND(ROUND('Δρομολόγια'!$F$15*100,0)*(100-$A99)/100,0)/100*(1-'Δρομολόγια'!$S$15)-'Δρομολόγια'!$R$15,"")</f>
        <v/>
      </c>
      <c r="L99" s="20">
        <f>IF('Δρομολόγια'!$P$16,ROUND(ROUND('Δρομολόγια'!$F$16*100,0)*(100-$A99)/100,0)/100*(1-'Δρομολόγια'!$S$16)-'Δρομολόγια'!$R$16,"")</f>
        <v/>
      </c>
      <c r="M99" s="20">
        <f>IF('Δρομολόγια'!$P$17,ROUND(ROUND('Δρομολόγια'!$F$17*100,0)*(100-$A99)/100,0)/100*(1-'Δρομολόγια'!$S$17)-'Δρομολόγια'!$R$17,"")</f>
        <v/>
      </c>
      <c r="N99" s="20">
        <f>IF('Δρομολόγια'!$P$18,ROUND(ROUND('Δρομολόγια'!$F$18*100,0)*(100-$A99)/100,0)/100*(1-'Δρομολόγια'!$S$18)-'Δρομολόγια'!$R$18,"")</f>
        <v/>
      </c>
      <c r="O99" s="20">
        <f>IF('Δρομολόγια'!$P$19,ROUND(ROUND('Δρομολόγια'!$F$19*100,0)*(100-$A99)/100,0)/100*(1-'Δρομολόγια'!$S$19)-'Δρομολόγια'!$R$19,"")</f>
        <v/>
      </c>
      <c r="P99" s="20">
        <f>IF('Δρομολόγια'!$P$20,ROUND(ROUND('Δρομολόγια'!$F$20*100,0)*(100-$A99)/100,0)/100*(1-'Δρομολόγια'!$S$20)-'Δρομολόγια'!$R$20,"")</f>
        <v/>
      </c>
      <c r="Q99" t="inlineStr">
        <is>
          <t>ενενήντα τρία</t>
        </is>
      </c>
    </row>
    <row r="100">
      <c r="A100" t="n">
        <v>94</v>
      </c>
      <c r="B100" s="20">
        <f>IF('Δρομολόγια'!$P$6,ROUND(ROUND('Δρομολόγια'!$F$6*100,0)*(100-$A100)/100,0)/100*(1-'Δρομολόγια'!$S$6)-'Δρομολόγια'!$R$6,"")</f>
        <v/>
      </c>
      <c r="C100" s="20">
        <f>IF('Δρομολόγια'!$P$7,ROUND(ROUND('Δρομολόγια'!$F$7*100,0)*(100-$A100)/100,0)/100*(1-'Δρομολόγια'!$S$7)-'Δρομολόγια'!$R$7,"")</f>
        <v/>
      </c>
      <c r="D100" s="20">
        <f>IF('Δρομολόγια'!$P$8,ROUND(ROUND('Δρομολόγια'!$F$8*100,0)*(100-$A100)/100,0)/100*(1-'Δρομολόγια'!$S$8)-'Δρομολόγια'!$R$8,"")</f>
        <v/>
      </c>
      <c r="E100" s="20">
        <f>IF('Δρομολόγια'!$P$9,ROUND(ROUND('Δρομολόγια'!$F$9*100,0)*(100-$A100)/100,0)/100*(1-'Δρομολόγια'!$S$9)-'Δρομολόγια'!$R$9,"")</f>
        <v/>
      </c>
      <c r="F100" s="20">
        <f>IF('Δρομολόγια'!$P$10,ROUND(ROUND('Δρομολόγια'!$F$10*100,0)*(100-$A100)/100,0)/100*(1-'Δρομολόγια'!$S$10)-'Δρομολόγια'!$R$10,"")</f>
        <v/>
      </c>
      <c r="G100" s="20">
        <f>IF('Δρομολόγια'!$P$11,ROUND(ROUND('Δρομολόγια'!$F$11*100,0)*(100-$A100)/100,0)/100*(1-'Δρομολόγια'!$S$11)-'Δρομολόγια'!$R$11,"")</f>
        <v/>
      </c>
      <c r="H100" s="20">
        <f>IF('Δρομολόγια'!$P$12,ROUND(ROUND('Δρομολόγια'!$F$12*100,0)*(100-$A100)/100,0)/100*(1-'Δρομολόγια'!$S$12)-'Δρομολόγια'!$R$12,"")</f>
        <v/>
      </c>
      <c r="I100" s="20">
        <f>IF('Δρομολόγια'!$P$13,ROUND(ROUND('Δρομολόγια'!$F$13*100,0)*(100-$A100)/100,0)/100*(1-'Δρομολόγια'!$S$13)-'Δρομολόγια'!$R$13,"")</f>
        <v/>
      </c>
      <c r="J100" s="20">
        <f>IF('Δρομολόγια'!$P$14,ROUND(ROUND('Δρομολόγια'!$F$14*100,0)*(100-$A100)/100,0)/100*(1-'Δρομολόγια'!$S$14)-'Δρομολόγια'!$R$14,"")</f>
        <v/>
      </c>
      <c r="K100" s="20">
        <f>IF('Δρομολόγια'!$P$15,ROUND(ROUND('Δρομολόγια'!$F$15*100,0)*(100-$A100)/100,0)/100*(1-'Δρομολόγια'!$S$15)-'Δρομολόγια'!$R$15,"")</f>
        <v/>
      </c>
      <c r="L100" s="20">
        <f>IF('Δρομολόγια'!$P$16,ROUND(ROUND('Δρομολόγια'!$F$16*100,0)*(100-$A100)/100,0)/100*(1-'Δρομολόγια'!$S$16)-'Δρομολόγια'!$R$16,"")</f>
        <v/>
      </c>
      <c r="M100" s="20">
        <f>IF('Δρομολόγια'!$P$17,ROUND(ROUND('Δρομολόγια'!$F$17*100,0)*(100-$A100)/100,0)/100*(1-'Δρομολόγια'!$S$17)-'Δρομολόγια'!$R$17,"")</f>
        <v/>
      </c>
      <c r="N100" s="20">
        <f>IF('Δρομολόγια'!$P$18,ROUND(ROUND('Δρομολόγια'!$F$18*100,0)*(100-$A100)/100,0)/100*(1-'Δρομολόγια'!$S$18)-'Δρομολόγια'!$R$18,"")</f>
        <v/>
      </c>
      <c r="O100" s="20">
        <f>IF('Δρομολόγια'!$P$19,ROUND(ROUND('Δρομολόγια'!$F$19*100,0)*(100-$A100)/100,0)/100*(1-'Δρομολόγια'!$S$19)-'Δρομολόγια'!$R$19,"")</f>
        <v/>
      </c>
      <c r="P100" s="20">
        <f>IF('Δρομολόγια'!$P$20,ROUND(ROUND('Δρομολόγια'!$F$20*100,0)*(100-$A100)/100,0)/100*(1-'Δρομολόγια'!$S$20)-'Δρομολόγια'!$R$20,"")</f>
        <v/>
      </c>
      <c r="Q100" t="inlineStr">
        <is>
          <t>ενενήντα τέσσερα</t>
        </is>
      </c>
    </row>
    <row r="101">
      <c r="A101" t="n">
        <v>95</v>
      </c>
      <c r="B101" s="20">
        <f>IF('Δρομολόγια'!$P$6,ROUND(ROUND('Δρομολόγια'!$F$6*100,0)*(100-$A101)/100,0)/100*(1-'Δρομολόγια'!$S$6)-'Δρομολόγια'!$R$6,"")</f>
        <v/>
      </c>
      <c r="C101" s="20">
        <f>IF('Δρομολόγια'!$P$7,ROUND(ROUND('Δρομολόγια'!$F$7*100,0)*(100-$A101)/100,0)/100*(1-'Δρομολόγια'!$S$7)-'Δρομολόγια'!$R$7,"")</f>
        <v/>
      </c>
      <c r="D101" s="20">
        <f>IF('Δρομολόγια'!$P$8,ROUND(ROUND('Δρομολόγια'!$F$8*100,0)*(100-$A101)/100,0)/100*(1-'Δρομολόγια'!$S$8)-'Δρομολόγια'!$R$8,"")</f>
        <v/>
      </c>
      <c r="E101" s="20">
        <f>IF('Δρομολόγια'!$P$9,ROUND(ROUND('Δρομολόγια'!$F$9*100,0)*(100-$A101)/100,0)/100*(1-'Δρομολόγια'!$S$9)-'Δρομολόγια'!$R$9,"")</f>
        <v/>
      </c>
      <c r="F101" s="20">
        <f>IF('Δρομολόγια'!$P$10,ROUND(ROUND('Δρομολόγια'!$F$10*100,0)*(100-$A101)/100,0)/100*(1-'Δρομολόγια'!$S$10)-'Δρομολόγια'!$R$10,"")</f>
        <v/>
      </c>
      <c r="G101" s="20">
        <f>IF('Δρομολόγια'!$P$11,ROUND(ROUND('Δρομολόγια'!$F$11*100,0)*(100-$A101)/100,0)/100*(1-'Δρομολόγια'!$S$11)-'Δρομολόγια'!$R$11,"")</f>
        <v/>
      </c>
      <c r="H101" s="20">
        <f>IF('Δρομολόγια'!$P$12,ROUND(ROUND('Δρομολόγια'!$F$12*100,0)*(100-$A101)/100,0)/100*(1-'Δρομολόγια'!$S$12)-'Δρομολόγια'!$R$12,"")</f>
        <v/>
      </c>
      <c r="I101" s="20">
        <f>IF('Δρομολόγια'!$P$13,ROUND(ROUND('Δρομολόγια'!$F$13*100,0)*(100-$A101)/100,0)/100*(1-'Δρομολόγια'!$S$13)-'Δρομολόγια'!$R$13,"")</f>
        <v/>
      </c>
      <c r="J101" s="20">
        <f>IF('Δρομολόγια'!$P$14,ROUND(ROUND('Δρομολόγια'!$F$14*100,0)*(100-$A101)/100,0)/100*(1-'Δρομολόγια'!$S$14)-'Δρομολόγια'!$R$14,"")</f>
        <v/>
      </c>
      <c r="K101" s="20">
        <f>IF('Δρομολόγια'!$P$15,ROUND(ROUND('Δρομολόγια'!$F$15*100,0)*(100-$A101)/100,0)/100*(1-'Δρομολόγια'!$S$15)-'Δρομολόγια'!$R$15,"")</f>
        <v/>
      </c>
      <c r="L101" s="20">
        <f>IF('Δρομολόγια'!$P$16,ROUND(ROUND('Δρομολόγια'!$F$16*100,0)*(100-$A101)/100,0)/100*(1-'Δρομολόγια'!$S$16)-'Δρομολόγια'!$R$16,"")</f>
        <v/>
      </c>
      <c r="M101" s="20">
        <f>IF('Δρομολόγια'!$P$17,ROUND(ROUND('Δρομολόγια'!$F$17*100,0)*(100-$A101)/100,0)/100*(1-'Δρομολόγια'!$S$17)-'Δρομολόγια'!$R$17,"")</f>
        <v/>
      </c>
      <c r="N101" s="20">
        <f>IF('Δρομολόγια'!$P$18,ROUND(ROUND('Δρομολόγια'!$F$18*100,0)*(100-$A101)/100,0)/100*(1-'Δρομολόγια'!$S$18)-'Δρομολόγια'!$R$18,"")</f>
        <v/>
      </c>
      <c r="O101" s="20">
        <f>IF('Δρομολόγια'!$P$19,ROUND(ROUND('Δρομολόγια'!$F$19*100,0)*(100-$A101)/100,0)/100*(1-'Δρομολόγια'!$S$19)-'Δρομολόγια'!$R$19,"")</f>
        <v/>
      </c>
      <c r="P101" s="20">
        <f>IF('Δρομολόγια'!$P$20,ROUND(ROUND('Δρομολόγια'!$F$20*100,0)*(100-$A101)/100,0)/100*(1-'Δρομολόγια'!$S$20)-'Δρομολόγια'!$R$20,"")</f>
        <v/>
      </c>
      <c r="Q101" t="inlineStr">
        <is>
          <t>ενενήντα πέντε</t>
        </is>
      </c>
    </row>
    <row r="102">
      <c r="A102" t="n">
        <v>96</v>
      </c>
      <c r="B102" s="20">
        <f>IF('Δρομολόγια'!$P$6,ROUND(ROUND('Δρομολόγια'!$F$6*100,0)*(100-$A102)/100,0)/100*(1-'Δρομολόγια'!$S$6)-'Δρομολόγια'!$R$6,"")</f>
        <v/>
      </c>
      <c r="C102" s="20">
        <f>IF('Δρομολόγια'!$P$7,ROUND(ROUND('Δρομολόγια'!$F$7*100,0)*(100-$A102)/100,0)/100*(1-'Δρομολόγια'!$S$7)-'Δρομολόγια'!$R$7,"")</f>
        <v/>
      </c>
      <c r="D102" s="20">
        <f>IF('Δρομολόγια'!$P$8,ROUND(ROUND('Δρομολόγια'!$F$8*100,0)*(100-$A102)/100,0)/100*(1-'Δρομολόγια'!$S$8)-'Δρομολόγια'!$R$8,"")</f>
        <v/>
      </c>
      <c r="E102" s="20">
        <f>IF('Δρομολόγια'!$P$9,ROUND(ROUND('Δρομολόγια'!$F$9*100,0)*(100-$A102)/100,0)/100*(1-'Δρομολόγια'!$S$9)-'Δρομολόγια'!$R$9,"")</f>
        <v/>
      </c>
      <c r="F102" s="20">
        <f>IF('Δρομολόγια'!$P$10,ROUND(ROUND('Δρομολόγια'!$F$10*100,0)*(100-$A102)/100,0)/100*(1-'Δρομολόγια'!$S$10)-'Δρομολόγια'!$R$10,"")</f>
        <v/>
      </c>
      <c r="G102" s="20">
        <f>IF('Δρομολόγια'!$P$11,ROUND(ROUND('Δρομολόγια'!$F$11*100,0)*(100-$A102)/100,0)/100*(1-'Δρομολόγια'!$S$11)-'Δρομολόγια'!$R$11,"")</f>
        <v/>
      </c>
      <c r="H102" s="20">
        <f>IF('Δρομολόγια'!$P$12,ROUND(ROUND('Δρομολόγια'!$F$12*100,0)*(100-$A102)/100,0)/100*(1-'Δρομολόγια'!$S$12)-'Δρομολόγια'!$R$12,"")</f>
        <v/>
      </c>
      <c r="I102" s="20">
        <f>IF('Δρομολόγια'!$P$13,ROUND(ROUND('Δρομολόγια'!$F$13*100,0)*(100-$A102)/100,0)/100*(1-'Δρομολόγια'!$S$13)-'Δρομολόγια'!$R$13,"")</f>
        <v/>
      </c>
      <c r="J102" s="20">
        <f>IF('Δρομολόγια'!$P$14,ROUND(ROUND('Δρομολόγια'!$F$14*100,0)*(100-$A102)/100,0)/100*(1-'Δρομολόγια'!$S$14)-'Δρομολόγια'!$R$14,"")</f>
        <v/>
      </c>
      <c r="K102" s="20">
        <f>IF('Δρομολόγια'!$P$15,ROUND(ROUND('Δρομολόγια'!$F$15*100,0)*(100-$A102)/100,0)/100*(1-'Δρομολόγια'!$S$15)-'Δρομολόγια'!$R$15,"")</f>
        <v/>
      </c>
      <c r="L102" s="20">
        <f>IF('Δρομολόγια'!$P$16,ROUND(ROUND('Δρομολόγια'!$F$16*100,0)*(100-$A102)/100,0)/100*(1-'Δρομολόγια'!$S$16)-'Δρομολόγια'!$R$16,"")</f>
        <v/>
      </c>
      <c r="M102" s="20">
        <f>IF('Δρομολόγια'!$P$17,ROUND(ROUND('Δρομολόγια'!$F$17*100,0)*(100-$A102)/100,0)/100*(1-'Δρομολόγια'!$S$17)-'Δρομολόγια'!$R$17,"")</f>
        <v/>
      </c>
      <c r="N102" s="20">
        <f>IF('Δρομολόγια'!$P$18,ROUND(ROUND('Δρομολόγια'!$F$18*100,0)*(100-$A102)/100,0)/100*(1-'Δρομολόγια'!$S$18)-'Δρομολόγια'!$R$18,"")</f>
        <v/>
      </c>
      <c r="O102" s="20">
        <f>IF('Δρομολόγια'!$P$19,ROUND(ROUND('Δρομολόγια'!$F$19*100,0)*(100-$A102)/100,0)/100*(1-'Δρομολόγια'!$S$19)-'Δρομολόγια'!$R$19,"")</f>
        <v/>
      </c>
      <c r="P102" s="20">
        <f>IF('Δρομολόγια'!$P$20,ROUND(ROUND('Δρομολόγια'!$F$20*100,0)*(100-$A102)/100,0)/100*(1-'Δρομολόγια'!$S$20)-'Δρομολόγια'!$R$20,"")</f>
        <v/>
      </c>
      <c r="Q102" t="inlineStr">
        <is>
          <t>ενενήντα έξι</t>
        </is>
      </c>
    </row>
    <row r="103">
      <c r="A103" t="n">
        <v>97</v>
      </c>
      <c r="B103" s="20">
        <f>IF('Δρομολόγια'!$P$6,ROUND(ROUND('Δρομολόγια'!$F$6*100,0)*(100-$A103)/100,0)/100*(1-'Δρομολόγια'!$S$6)-'Δρομολόγια'!$R$6,"")</f>
        <v/>
      </c>
      <c r="C103" s="20">
        <f>IF('Δρομολόγια'!$P$7,ROUND(ROUND('Δρομολόγια'!$F$7*100,0)*(100-$A103)/100,0)/100*(1-'Δρομολόγια'!$S$7)-'Δρομολόγια'!$R$7,"")</f>
        <v/>
      </c>
      <c r="D103" s="20">
        <f>IF('Δρομολόγια'!$P$8,ROUND(ROUND('Δρομολόγια'!$F$8*100,0)*(100-$A103)/100,0)/100*(1-'Δρομολόγια'!$S$8)-'Δρομολόγια'!$R$8,"")</f>
        <v/>
      </c>
      <c r="E103" s="20">
        <f>IF('Δρομολόγια'!$P$9,ROUND(ROUND('Δρομολόγια'!$F$9*100,0)*(100-$A103)/100,0)/100*(1-'Δρομολόγια'!$S$9)-'Δρομολόγια'!$R$9,"")</f>
        <v/>
      </c>
      <c r="F103" s="20">
        <f>IF('Δρομολόγια'!$P$10,ROUND(ROUND('Δρομολόγια'!$F$10*100,0)*(100-$A103)/100,0)/100*(1-'Δρομολόγια'!$S$10)-'Δρομολόγια'!$R$10,"")</f>
        <v/>
      </c>
      <c r="G103" s="20">
        <f>IF('Δρομολόγια'!$P$11,ROUND(ROUND('Δρομολόγια'!$F$11*100,0)*(100-$A103)/100,0)/100*(1-'Δρομολόγια'!$S$11)-'Δρομολόγια'!$R$11,"")</f>
        <v/>
      </c>
      <c r="H103" s="20">
        <f>IF('Δρομολόγια'!$P$12,ROUND(ROUND('Δρομολόγια'!$F$12*100,0)*(100-$A103)/100,0)/100*(1-'Δρομολόγια'!$S$12)-'Δρομολόγια'!$R$12,"")</f>
        <v/>
      </c>
      <c r="I103" s="20">
        <f>IF('Δρομολόγια'!$P$13,ROUND(ROUND('Δρομολόγια'!$F$13*100,0)*(100-$A103)/100,0)/100*(1-'Δρομολόγια'!$S$13)-'Δρομολόγια'!$R$13,"")</f>
        <v/>
      </c>
      <c r="J103" s="20">
        <f>IF('Δρομολόγια'!$P$14,ROUND(ROUND('Δρομολόγια'!$F$14*100,0)*(100-$A103)/100,0)/100*(1-'Δρομολόγια'!$S$14)-'Δρομολόγια'!$R$14,"")</f>
        <v/>
      </c>
      <c r="K103" s="20">
        <f>IF('Δρομολόγια'!$P$15,ROUND(ROUND('Δρομολόγια'!$F$15*100,0)*(100-$A103)/100,0)/100*(1-'Δρομολόγια'!$S$15)-'Δρομολόγια'!$R$15,"")</f>
        <v/>
      </c>
      <c r="L103" s="20">
        <f>IF('Δρομολόγια'!$P$16,ROUND(ROUND('Δρομολόγια'!$F$16*100,0)*(100-$A103)/100,0)/100*(1-'Δρομολόγια'!$S$16)-'Δρομολόγια'!$R$16,"")</f>
        <v/>
      </c>
      <c r="M103" s="20">
        <f>IF('Δρομολόγια'!$P$17,ROUND(ROUND('Δρομολόγια'!$F$17*100,0)*(100-$A103)/100,0)/100*(1-'Δρομολόγια'!$S$17)-'Δρομολόγια'!$R$17,"")</f>
        <v/>
      </c>
      <c r="N103" s="20">
        <f>IF('Δρομολόγια'!$P$18,ROUND(ROUND('Δρομολόγια'!$F$18*100,0)*(100-$A103)/100,0)/100*(1-'Δρομολόγια'!$S$18)-'Δρομολόγια'!$R$18,"")</f>
        <v/>
      </c>
      <c r="O103" s="20">
        <f>IF('Δρομολόγια'!$P$19,ROUND(ROUND('Δρομολόγια'!$F$19*100,0)*(100-$A103)/100,0)/100*(1-'Δρομολόγια'!$S$19)-'Δρομολόγια'!$R$19,"")</f>
        <v/>
      </c>
      <c r="P103" s="20">
        <f>IF('Δρομολόγια'!$P$20,ROUND(ROUND('Δρομολόγια'!$F$20*100,0)*(100-$A103)/100,0)/100*(1-'Δρομολόγια'!$S$20)-'Δρομολόγια'!$R$20,"")</f>
        <v/>
      </c>
      <c r="Q103" t="inlineStr">
        <is>
          <t>ενενήντα επτά</t>
        </is>
      </c>
    </row>
    <row r="104">
      <c r="A104" t="n">
        <v>98</v>
      </c>
      <c r="B104" s="20">
        <f>IF('Δρομολόγια'!$P$6,ROUND(ROUND('Δρομολόγια'!$F$6*100,0)*(100-$A104)/100,0)/100*(1-'Δρομολόγια'!$S$6)-'Δρομολόγια'!$R$6,"")</f>
        <v/>
      </c>
      <c r="C104" s="20">
        <f>IF('Δρομολόγια'!$P$7,ROUND(ROUND('Δρομολόγια'!$F$7*100,0)*(100-$A104)/100,0)/100*(1-'Δρομολόγια'!$S$7)-'Δρομολόγια'!$R$7,"")</f>
        <v/>
      </c>
      <c r="D104" s="20">
        <f>IF('Δρομολόγια'!$P$8,ROUND(ROUND('Δρομολόγια'!$F$8*100,0)*(100-$A104)/100,0)/100*(1-'Δρομολόγια'!$S$8)-'Δρομολόγια'!$R$8,"")</f>
        <v/>
      </c>
      <c r="E104" s="20">
        <f>IF('Δρομολόγια'!$P$9,ROUND(ROUND('Δρομολόγια'!$F$9*100,0)*(100-$A104)/100,0)/100*(1-'Δρομολόγια'!$S$9)-'Δρομολόγια'!$R$9,"")</f>
        <v/>
      </c>
      <c r="F104" s="20">
        <f>IF('Δρομολόγια'!$P$10,ROUND(ROUND('Δρομολόγια'!$F$10*100,0)*(100-$A104)/100,0)/100*(1-'Δρομολόγια'!$S$10)-'Δρομολόγια'!$R$10,"")</f>
        <v/>
      </c>
      <c r="G104" s="20">
        <f>IF('Δρομολόγια'!$P$11,ROUND(ROUND('Δρομολόγια'!$F$11*100,0)*(100-$A104)/100,0)/100*(1-'Δρομολόγια'!$S$11)-'Δρομολόγια'!$R$11,"")</f>
        <v/>
      </c>
      <c r="H104" s="20">
        <f>IF('Δρομολόγια'!$P$12,ROUND(ROUND('Δρομολόγια'!$F$12*100,0)*(100-$A104)/100,0)/100*(1-'Δρομολόγια'!$S$12)-'Δρομολόγια'!$R$12,"")</f>
        <v/>
      </c>
      <c r="I104" s="20">
        <f>IF('Δρομολόγια'!$P$13,ROUND(ROUND('Δρομολόγια'!$F$13*100,0)*(100-$A104)/100,0)/100*(1-'Δρομολόγια'!$S$13)-'Δρομολόγια'!$R$13,"")</f>
        <v/>
      </c>
      <c r="J104" s="20">
        <f>IF('Δρομολόγια'!$P$14,ROUND(ROUND('Δρομολόγια'!$F$14*100,0)*(100-$A104)/100,0)/100*(1-'Δρομολόγια'!$S$14)-'Δρομολόγια'!$R$14,"")</f>
        <v/>
      </c>
      <c r="K104" s="20">
        <f>IF('Δρομολόγια'!$P$15,ROUND(ROUND('Δρομολόγια'!$F$15*100,0)*(100-$A104)/100,0)/100*(1-'Δρομολόγια'!$S$15)-'Δρομολόγια'!$R$15,"")</f>
        <v/>
      </c>
      <c r="L104" s="20">
        <f>IF('Δρομολόγια'!$P$16,ROUND(ROUND('Δρομολόγια'!$F$16*100,0)*(100-$A104)/100,0)/100*(1-'Δρομολόγια'!$S$16)-'Δρομολόγια'!$R$16,"")</f>
        <v/>
      </c>
      <c r="M104" s="20">
        <f>IF('Δρομολόγια'!$P$17,ROUND(ROUND('Δρομολόγια'!$F$17*100,0)*(100-$A104)/100,0)/100*(1-'Δρομολόγια'!$S$17)-'Δρομολόγια'!$R$17,"")</f>
        <v/>
      </c>
      <c r="N104" s="20">
        <f>IF('Δρομολόγια'!$P$18,ROUND(ROUND('Δρομολόγια'!$F$18*100,0)*(100-$A104)/100,0)/100*(1-'Δρομολόγια'!$S$18)-'Δρομολόγια'!$R$18,"")</f>
        <v/>
      </c>
      <c r="O104" s="20">
        <f>IF('Δρομολόγια'!$P$19,ROUND(ROUND('Δρομολόγια'!$F$19*100,0)*(100-$A104)/100,0)/100*(1-'Δρομολόγια'!$S$19)-'Δρομολόγια'!$R$19,"")</f>
        <v/>
      </c>
      <c r="P104" s="20">
        <f>IF('Δρομολόγια'!$P$20,ROUND(ROUND('Δρομολόγια'!$F$20*100,0)*(100-$A104)/100,0)/100*(1-'Δρομολόγια'!$S$20)-'Δρομολόγια'!$R$20,"")</f>
        <v/>
      </c>
      <c r="Q104" t="inlineStr">
        <is>
          <t>ενενήντα οκτώ</t>
        </is>
      </c>
    </row>
    <row r="105">
      <c r="A105" t="n">
        <v>99</v>
      </c>
      <c r="B105" s="20">
        <f>IF('Δρομολόγια'!$P$6,ROUND(ROUND('Δρομολόγια'!$F$6*100,0)*(100-$A105)/100,0)/100*(1-'Δρομολόγια'!$S$6)-'Δρομολόγια'!$R$6,"")</f>
        <v/>
      </c>
      <c r="C105" s="20">
        <f>IF('Δρομολόγια'!$P$7,ROUND(ROUND('Δρομολόγια'!$F$7*100,0)*(100-$A105)/100,0)/100*(1-'Δρομολόγια'!$S$7)-'Δρομολόγια'!$R$7,"")</f>
        <v/>
      </c>
      <c r="D105" s="20">
        <f>IF('Δρομολόγια'!$P$8,ROUND(ROUND('Δρομολόγια'!$F$8*100,0)*(100-$A105)/100,0)/100*(1-'Δρομολόγια'!$S$8)-'Δρομολόγια'!$R$8,"")</f>
        <v/>
      </c>
      <c r="E105" s="20">
        <f>IF('Δρομολόγια'!$P$9,ROUND(ROUND('Δρομολόγια'!$F$9*100,0)*(100-$A105)/100,0)/100*(1-'Δρομολόγια'!$S$9)-'Δρομολόγια'!$R$9,"")</f>
        <v/>
      </c>
      <c r="F105" s="20">
        <f>IF('Δρομολόγια'!$P$10,ROUND(ROUND('Δρομολόγια'!$F$10*100,0)*(100-$A105)/100,0)/100*(1-'Δρομολόγια'!$S$10)-'Δρομολόγια'!$R$10,"")</f>
        <v/>
      </c>
      <c r="G105" s="20">
        <f>IF('Δρομολόγια'!$P$11,ROUND(ROUND('Δρομολόγια'!$F$11*100,0)*(100-$A105)/100,0)/100*(1-'Δρομολόγια'!$S$11)-'Δρομολόγια'!$R$11,"")</f>
        <v/>
      </c>
      <c r="H105" s="20">
        <f>IF('Δρομολόγια'!$P$12,ROUND(ROUND('Δρομολόγια'!$F$12*100,0)*(100-$A105)/100,0)/100*(1-'Δρομολόγια'!$S$12)-'Δρομολόγια'!$R$12,"")</f>
        <v/>
      </c>
      <c r="I105" s="20">
        <f>IF('Δρομολόγια'!$P$13,ROUND(ROUND('Δρομολόγια'!$F$13*100,0)*(100-$A105)/100,0)/100*(1-'Δρομολόγια'!$S$13)-'Δρομολόγια'!$R$13,"")</f>
        <v/>
      </c>
      <c r="J105" s="20">
        <f>IF('Δρομολόγια'!$P$14,ROUND(ROUND('Δρομολόγια'!$F$14*100,0)*(100-$A105)/100,0)/100*(1-'Δρομολόγια'!$S$14)-'Δρομολόγια'!$R$14,"")</f>
        <v/>
      </c>
      <c r="K105" s="20">
        <f>IF('Δρομολόγια'!$P$15,ROUND(ROUND('Δρομολόγια'!$F$15*100,0)*(100-$A105)/100,0)/100*(1-'Δρομολόγια'!$S$15)-'Δρομολόγια'!$R$15,"")</f>
        <v/>
      </c>
      <c r="L105" s="20">
        <f>IF('Δρομολόγια'!$P$16,ROUND(ROUND('Δρομολόγια'!$F$16*100,0)*(100-$A105)/100,0)/100*(1-'Δρομολόγια'!$S$16)-'Δρομολόγια'!$R$16,"")</f>
        <v/>
      </c>
      <c r="M105" s="20">
        <f>IF('Δρομολόγια'!$P$17,ROUND(ROUND('Δρομολόγια'!$F$17*100,0)*(100-$A105)/100,0)/100*(1-'Δρομολόγια'!$S$17)-'Δρομολόγια'!$R$17,"")</f>
        <v/>
      </c>
      <c r="N105" s="20">
        <f>IF('Δρομολόγια'!$P$18,ROUND(ROUND('Δρομολόγια'!$F$18*100,0)*(100-$A105)/100,0)/100*(1-'Δρομολόγια'!$S$18)-'Δρομολόγια'!$R$18,"")</f>
        <v/>
      </c>
      <c r="O105" s="20">
        <f>IF('Δρομολόγια'!$P$19,ROUND(ROUND('Δρομολόγια'!$F$19*100,0)*(100-$A105)/100,0)/100*(1-'Δρομολόγια'!$S$19)-'Δρομολόγια'!$R$19,"")</f>
        <v/>
      </c>
      <c r="P105" s="20">
        <f>IF('Δρομολόγια'!$P$20,ROUND(ROUND('Δρομολόγια'!$F$20*100,0)*(100-$A105)/100,0)/100*(1-'Δρομολόγια'!$S$20)-'Δρομολόγια'!$R$20,"")</f>
        <v/>
      </c>
      <c r="Q105" t="inlineStr">
        <is>
          <t>ενενήντα εννέα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conditionalFormatting sqref="B6:P105">
    <cfRule type="cellIs" priority="1" operator="lessThan" dxfId="0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6" customWidth="1" min="2" max="2"/>
    <col width="9" customWidth="1" min="3" max="3"/>
    <col width="9" customWidth="1" min="4" max="4"/>
    <col width="13" customWidth="1" min="5" max="5"/>
    <col width="11" customWidth="1" min="6" max="6"/>
    <col width="12" customWidth="1" min="7" max="7"/>
    <col width="12" customWidth="1" min="8" max="8"/>
    <col width="12" customWidth="1" min="9" max="9"/>
    <col width="11" customWidth="1" min="10" max="10"/>
    <col width="24" customWidth="1" min="11" max="11"/>
    <col width="13" customWidth="1" min="12" max="12"/>
    <col width="48" customWidth="1" min="13" max="13"/>
  </cols>
  <sheetData>
    <row r="1">
      <c r="A1" s="3" t="inlineStr">
        <is>
          <t>Προσφορά: έλεγχος πριν την υποβολή από τον πελάτη</t>
        </is>
      </c>
    </row>
    <row r="2" ht="32" customHeight="1">
      <c r="A2" s="2" t="inlineStr">
        <is>
          <t>Γράφεις ό,τι θα γράψει ο πελάτης στη φόρμα του ΕΣΗΔΗΣ και στο Υπόδειγμα. Τιμή = τιμή αναφοράς × (1 − ακέραια έκπτωση), 2 δεκαδικά, χωρίς ΦΠΑ (§4.3.2.1). Υποβάλλει ο πελάτης, όχι εμείς.</t>
        </is>
      </c>
    </row>
    <row r="5" ht="60" customHeight="1">
      <c r="A5" s="4" t="inlineStr">
        <is>
          <t>#</t>
        </is>
      </c>
      <c r="B5" s="4" t="inlineStr">
        <is>
          <t>Κωδικός δρομολογίου</t>
        </is>
      </c>
      <c r="C5" s="4" t="inlineStr">
        <is>
          <t>Γραμμή στα Δρομολόγια</t>
        </is>
      </c>
      <c r="D5" s="4" t="inlineStr">
        <is>
          <t>Ομάδα</t>
        </is>
      </c>
      <c r="E5" s="4" t="inlineStr">
        <is>
          <t>Τιμή αναφοράς (€/ημέρα)</t>
        </is>
      </c>
      <c r="F5" s="4" t="inlineStr">
        <is>
          <t>Έκπτωση % (απόφαση πελάτη)</t>
        </is>
      </c>
      <c r="G5" s="4" t="inlineStr">
        <is>
          <t>Τιμή μετά την έκπτωση (υπολογίζεται)</t>
        </is>
      </c>
      <c r="H5" s="4" t="inlineStr">
        <is>
          <t>Τιμή στη φόρμα ΕΣΗΔΗΣ</t>
        </is>
      </c>
      <c r="I5" s="4" t="inlineStr">
        <is>
          <t>Τιμή στο Υπόδειγμα</t>
        </is>
      </c>
      <c r="J5" s="4" t="inlineStr">
        <is>
          <t>Σειρά προτεραιότητας</t>
        </is>
      </c>
      <c r="K5" s="4" t="inlineStr">
        <is>
          <t>Ολογράφως (για το Υπόδειγμα)</t>
        </is>
      </c>
      <c r="L5" s="4" t="inlineStr">
        <is>
          <t>Προϋπολογισμός χωρίς ΦΠΑ και προαίρεση (€)</t>
        </is>
      </c>
      <c r="M5" s="4" t="inlineStr">
        <is>
          <t>Έλεγχος</t>
        </is>
      </c>
    </row>
    <row r="6">
      <c r="A6" t="n">
        <v>1</v>
      </c>
      <c r="B6" s="5" t="n"/>
      <c r="C6" s="19">
        <f>IF(B6="","",IFERROR(MATCH(B6,'Δρομολόγια'!$C$6:$C$20,0),""))</f>
        <v/>
      </c>
      <c r="D6" s="19">
        <f>IF(ISNUMBER(C6),INDEX('Δρομολόγια'!$D$6:$D$20,C6)&amp;"","")</f>
        <v/>
      </c>
      <c r="E6" s="20">
        <f>IF(ISNUMBER(C6),INDEX('Δρομολόγια'!$F$6:$F$20,C6),"")</f>
        <v/>
      </c>
      <c r="F6" s="5" t="n"/>
      <c r="G6" s="20">
        <f>IF(AND(ISNUMBER(E6),ISNUMBER(F6)),ROUND(ROUND(E6*100,0)*(100-F6)/100,0)/100,"")</f>
        <v/>
      </c>
      <c r="H6" s="13" t="n"/>
      <c r="I6" s="13" t="n"/>
      <c r="J6" s="5" t="n"/>
      <c r="K6" s="19">
        <f>IF(AND(ISNUMBER(F6),F6=INT(F6),F6&gt;=0,F6&lt;=99),INDEX('Πλέγμα'!$Q$6:$Q$105,F6+1)&amp;" τοις εκατό","")</f>
        <v/>
      </c>
      <c r="L6" s="20">
        <f>IF(ISNUMBER(C6),INDEX('Δρομολόγια'!$H$6:$H$20,C6),"")</f>
        <v/>
      </c>
      <c r="M6" s="21">
        <f>IF(B6="","",IF(NOT(ISNUMBER(C6)),"ΛΑΘΟΣ: ο κωδικός δεν υπάρχει στο φύλλο Δρομολόγια",IF(INDEX('Δρομολόγια'!$N$6:$N$20,C6)&lt;&gt;"ΝΑΙ","ΛΑΘΟΣ: δεν έχει καταγραφεί απόφαση ΝΑΙ του πελάτη (Δρομολόγια, στήλη N)",IF(NOT(AND(ISNUMBER(F6),F6=INT(F6),F6&gt;=0,F6&lt;=99)),"ΛΑΘΟΣ: η έκπτωση πρέπει να είναι ακέραιη, από 0 ως 99· δεκαδική στρογγυλοποιείται προς τα πάνω (§4.3.2.1)",IF(NOT(ISNUMBER(H6)),"ΛΑΘΟΣ: λείπει η τιμή της φόρμας",IF(OR(ABS(H6*100-ROUND(H6*100,0))&gt;0.000001,ROUND(H6*100,0)&lt;&gt;ROUND(G6*100,0)),"ΛΑΘΟΣ: η τιμή της φόρμας δεν είναι τιμή αναφοράς × (1 − έκπτωση) με 2 δεκαδικά (§4.3.2.1)",IF(NOT(ISNUMBER(I6)),"ΛΑΘΟΣ: λείπει η τιμή του Υποδείγματος",IF(ROUND(I6*100,0)&lt;&gt;ROUND(H6*100,0),"ΛΑΘΟΣ: το Υπόδειγμα δεν συμφωνεί με τη φόρμα (§4.3.2.1)",IF(NOT(AND(ISNUMBER(J6),J6=INT(J6),J6&gt;=1)),"ΛΑΘΟΣ: η σειρά προτεραιότητας πρέπει να είναι ακέραιος από 1 και πάνω (§4.3.2.1)",IF(COUNTIF($J$6:$J$20,J6)&gt;1,"ΛΑΘΟΣ: ίδια σειρά προτεραιότητας σε δύο γραμμές",IF(COUNTIF($B$6:$B$20,B6)&gt;1,"ΛΑΘΟΣ: το ίδιο δρομολόγιο δύο φορές",IF(AND(D6&lt;&gt;"",COUNTIFS($D$6:$D$20,D6,$F$6:$F$20,"&lt;&gt;"&amp;F6)&gt;0),"ΛΑΘΟΣ: στην ίδια ομάδα η έκπτωση πρέπει να είναι ίδια (§4.3.2.1)","OK"))))))))))))</f>
        <v/>
      </c>
    </row>
    <row r="7">
      <c r="A7" t="n">
        <v>2</v>
      </c>
      <c r="B7" s="5" t="n"/>
      <c r="C7" s="19">
        <f>IF(B7="","",IFERROR(MATCH(B7,'Δρομολόγια'!$C$6:$C$20,0),""))</f>
        <v/>
      </c>
      <c r="D7" s="19">
        <f>IF(ISNUMBER(C7),INDEX('Δρομολόγια'!$D$6:$D$20,C7)&amp;"","")</f>
        <v/>
      </c>
      <c r="E7" s="20">
        <f>IF(ISNUMBER(C7),INDEX('Δρομολόγια'!$F$6:$F$20,C7),"")</f>
        <v/>
      </c>
      <c r="F7" s="5" t="n"/>
      <c r="G7" s="20">
        <f>IF(AND(ISNUMBER(E7),ISNUMBER(F7)),ROUND(ROUND(E7*100,0)*(100-F7)/100,0)/100,"")</f>
        <v/>
      </c>
      <c r="H7" s="13" t="n"/>
      <c r="I7" s="13" t="n"/>
      <c r="J7" s="5" t="n"/>
      <c r="K7" s="19">
        <f>IF(AND(ISNUMBER(F7),F7=INT(F7),F7&gt;=0,F7&lt;=99),INDEX('Πλέγμα'!$Q$6:$Q$105,F7+1)&amp;" τοις εκατό","")</f>
        <v/>
      </c>
      <c r="L7" s="20">
        <f>IF(ISNUMBER(C7),INDEX('Δρομολόγια'!$H$6:$H$20,C7),"")</f>
        <v/>
      </c>
      <c r="M7" s="21">
        <f>IF(B7="","",IF(NOT(ISNUMBER(C7)),"ΛΑΘΟΣ: ο κωδικός δεν υπάρχει στο φύλλο Δρομολόγια",IF(INDEX('Δρομολόγια'!$N$6:$N$20,C7)&lt;&gt;"ΝΑΙ","ΛΑΘΟΣ: δεν έχει καταγραφεί απόφαση ΝΑΙ του πελάτη (Δρομολόγια, στήλη N)",IF(NOT(AND(ISNUMBER(F7),F7=INT(F7),F7&gt;=0,F7&lt;=99)),"ΛΑΘΟΣ: η έκπτωση πρέπει να είναι ακέραιη, από 0 ως 99· δεκαδική στρογγυλοποιείται προς τα πάνω (§4.3.2.1)",IF(NOT(ISNUMBER(H7)),"ΛΑΘΟΣ: λείπει η τιμή της φόρμας",IF(OR(ABS(H7*100-ROUND(H7*100,0))&gt;0.000001,ROUND(H7*100,0)&lt;&gt;ROUND(G7*100,0)),"ΛΑΘΟΣ: η τιμή της φόρμας δεν είναι τιμή αναφοράς × (1 − έκπτωση) με 2 δεκαδικά (§4.3.2.1)",IF(NOT(ISNUMBER(I7)),"ΛΑΘΟΣ: λείπει η τιμή του Υποδείγματος",IF(ROUND(I7*100,0)&lt;&gt;ROUND(H7*100,0),"ΛΑΘΟΣ: το Υπόδειγμα δεν συμφωνεί με τη φόρμα (§4.3.2.1)",IF(NOT(AND(ISNUMBER(J7),J7=INT(J7),J7&gt;=1)),"ΛΑΘΟΣ: η σειρά προτεραιότητας πρέπει να είναι ακέραιος από 1 και πάνω (§4.3.2.1)",IF(COUNTIF($J$6:$J$20,J7)&gt;1,"ΛΑΘΟΣ: ίδια σειρά προτεραιότητας σε δύο γραμμές",IF(COUNTIF($B$6:$B$20,B7)&gt;1,"ΛΑΘΟΣ: το ίδιο δρομολόγιο δύο φορές",IF(AND(D7&lt;&gt;"",COUNTIFS($D$6:$D$20,D7,$F$6:$F$20,"&lt;&gt;"&amp;F7)&gt;0),"ΛΑΘΟΣ: στην ίδια ομάδα η έκπτωση πρέπει να είναι ίδια (§4.3.2.1)","OK"))))))))))))</f>
        <v/>
      </c>
    </row>
    <row r="8">
      <c r="A8" t="n">
        <v>3</v>
      </c>
      <c r="B8" s="5" t="n"/>
      <c r="C8" s="19">
        <f>IF(B8="","",IFERROR(MATCH(B8,'Δρομολόγια'!$C$6:$C$20,0),""))</f>
        <v/>
      </c>
      <c r="D8" s="19">
        <f>IF(ISNUMBER(C8),INDEX('Δρομολόγια'!$D$6:$D$20,C8)&amp;"","")</f>
        <v/>
      </c>
      <c r="E8" s="20">
        <f>IF(ISNUMBER(C8),INDEX('Δρομολόγια'!$F$6:$F$20,C8),"")</f>
        <v/>
      </c>
      <c r="F8" s="5" t="n"/>
      <c r="G8" s="20">
        <f>IF(AND(ISNUMBER(E8),ISNUMBER(F8)),ROUND(ROUND(E8*100,0)*(100-F8)/100,0)/100,"")</f>
        <v/>
      </c>
      <c r="H8" s="13" t="n"/>
      <c r="I8" s="13" t="n"/>
      <c r="J8" s="5" t="n"/>
      <c r="K8" s="19">
        <f>IF(AND(ISNUMBER(F8),F8=INT(F8),F8&gt;=0,F8&lt;=99),INDEX('Πλέγμα'!$Q$6:$Q$105,F8+1)&amp;" τοις εκατό","")</f>
        <v/>
      </c>
      <c r="L8" s="20">
        <f>IF(ISNUMBER(C8),INDEX('Δρομολόγια'!$H$6:$H$20,C8),"")</f>
        <v/>
      </c>
      <c r="M8" s="21">
        <f>IF(B8="","",IF(NOT(ISNUMBER(C8)),"ΛΑΘΟΣ: ο κωδικός δεν υπάρχει στο φύλλο Δρομολόγια",IF(INDEX('Δρομολόγια'!$N$6:$N$20,C8)&lt;&gt;"ΝΑΙ","ΛΑΘΟΣ: δεν έχει καταγραφεί απόφαση ΝΑΙ του πελάτη (Δρομολόγια, στήλη N)",IF(NOT(AND(ISNUMBER(F8),F8=INT(F8),F8&gt;=0,F8&lt;=99)),"ΛΑΘΟΣ: η έκπτωση πρέπει να είναι ακέραιη, από 0 ως 99· δεκαδική στρογγυλοποιείται προς τα πάνω (§4.3.2.1)",IF(NOT(ISNUMBER(H8)),"ΛΑΘΟΣ: λείπει η τιμή της φόρμας",IF(OR(ABS(H8*100-ROUND(H8*100,0))&gt;0.000001,ROUND(H8*100,0)&lt;&gt;ROUND(G8*100,0)),"ΛΑΘΟΣ: η τιμή της φόρμας δεν είναι τιμή αναφοράς × (1 − έκπτωση) με 2 δεκαδικά (§4.3.2.1)",IF(NOT(ISNUMBER(I8)),"ΛΑΘΟΣ: λείπει η τιμή του Υποδείγματος",IF(ROUND(I8*100,0)&lt;&gt;ROUND(H8*100,0),"ΛΑΘΟΣ: το Υπόδειγμα δεν συμφωνεί με τη φόρμα (§4.3.2.1)",IF(NOT(AND(ISNUMBER(J8),J8=INT(J8),J8&gt;=1)),"ΛΑΘΟΣ: η σειρά προτεραιότητας πρέπει να είναι ακέραιος από 1 και πάνω (§4.3.2.1)",IF(COUNTIF($J$6:$J$20,J8)&gt;1,"ΛΑΘΟΣ: ίδια σειρά προτεραιότητας σε δύο γραμμές",IF(COUNTIF($B$6:$B$20,B8)&gt;1,"ΛΑΘΟΣ: το ίδιο δρομολόγιο δύο φορές",IF(AND(D8&lt;&gt;"",COUNTIFS($D$6:$D$20,D8,$F$6:$F$20,"&lt;&gt;"&amp;F8)&gt;0),"ΛΑΘΟΣ: στην ίδια ομάδα η έκπτωση πρέπει να είναι ίδια (§4.3.2.1)","OK"))))))))))))</f>
        <v/>
      </c>
    </row>
    <row r="9">
      <c r="A9" t="n">
        <v>4</v>
      </c>
      <c r="B9" s="5" t="n"/>
      <c r="C9" s="19">
        <f>IF(B9="","",IFERROR(MATCH(B9,'Δρομολόγια'!$C$6:$C$20,0),""))</f>
        <v/>
      </c>
      <c r="D9" s="19">
        <f>IF(ISNUMBER(C9),INDEX('Δρομολόγια'!$D$6:$D$20,C9)&amp;"","")</f>
        <v/>
      </c>
      <c r="E9" s="20">
        <f>IF(ISNUMBER(C9),INDEX('Δρομολόγια'!$F$6:$F$20,C9),"")</f>
        <v/>
      </c>
      <c r="F9" s="5" t="n"/>
      <c r="G9" s="20">
        <f>IF(AND(ISNUMBER(E9),ISNUMBER(F9)),ROUND(ROUND(E9*100,0)*(100-F9)/100,0)/100,"")</f>
        <v/>
      </c>
      <c r="H9" s="13" t="n"/>
      <c r="I9" s="13" t="n"/>
      <c r="J9" s="5" t="n"/>
      <c r="K9" s="19">
        <f>IF(AND(ISNUMBER(F9),F9=INT(F9),F9&gt;=0,F9&lt;=99),INDEX('Πλέγμα'!$Q$6:$Q$105,F9+1)&amp;" τοις εκατό","")</f>
        <v/>
      </c>
      <c r="L9" s="20">
        <f>IF(ISNUMBER(C9),INDEX('Δρομολόγια'!$H$6:$H$20,C9),"")</f>
        <v/>
      </c>
      <c r="M9" s="21">
        <f>IF(B9="","",IF(NOT(ISNUMBER(C9)),"ΛΑΘΟΣ: ο κωδικός δεν υπάρχει στο φύλλο Δρομολόγια",IF(INDEX('Δρομολόγια'!$N$6:$N$20,C9)&lt;&gt;"ΝΑΙ","ΛΑΘΟΣ: δεν έχει καταγραφεί απόφαση ΝΑΙ του πελάτη (Δρομολόγια, στήλη N)",IF(NOT(AND(ISNUMBER(F9),F9=INT(F9),F9&gt;=0,F9&lt;=99)),"ΛΑΘΟΣ: η έκπτωση πρέπει να είναι ακέραιη, από 0 ως 99· δεκαδική στρογγυλοποιείται προς τα πάνω (§4.3.2.1)",IF(NOT(ISNUMBER(H9)),"ΛΑΘΟΣ: λείπει η τιμή της φόρμας",IF(OR(ABS(H9*100-ROUND(H9*100,0))&gt;0.000001,ROUND(H9*100,0)&lt;&gt;ROUND(G9*100,0)),"ΛΑΘΟΣ: η τιμή της φόρμας δεν είναι τιμή αναφοράς × (1 − έκπτωση) με 2 δεκαδικά (§4.3.2.1)",IF(NOT(ISNUMBER(I9)),"ΛΑΘΟΣ: λείπει η τιμή του Υποδείγματος",IF(ROUND(I9*100,0)&lt;&gt;ROUND(H9*100,0),"ΛΑΘΟΣ: το Υπόδειγμα δεν συμφωνεί με τη φόρμα (§4.3.2.1)",IF(NOT(AND(ISNUMBER(J9),J9=INT(J9),J9&gt;=1)),"ΛΑΘΟΣ: η σειρά προτεραιότητας πρέπει να είναι ακέραιος από 1 και πάνω (§4.3.2.1)",IF(COUNTIF($J$6:$J$20,J9)&gt;1,"ΛΑΘΟΣ: ίδια σειρά προτεραιότητας σε δύο γραμμές",IF(COUNTIF($B$6:$B$20,B9)&gt;1,"ΛΑΘΟΣ: το ίδιο δρομολόγιο δύο φορές",IF(AND(D9&lt;&gt;"",COUNTIFS($D$6:$D$20,D9,$F$6:$F$20,"&lt;&gt;"&amp;F9)&gt;0),"ΛΑΘΟΣ: στην ίδια ομάδα η έκπτωση πρέπει να είναι ίδια (§4.3.2.1)","OK"))))))))))))</f>
        <v/>
      </c>
    </row>
    <row r="10">
      <c r="A10" t="n">
        <v>5</v>
      </c>
      <c r="B10" s="5" t="n"/>
      <c r="C10" s="19">
        <f>IF(B10="","",IFERROR(MATCH(B10,'Δρομολόγια'!$C$6:$C$20,0),""))</f>
        <v/>
      </c>
      <c r="D10" s="19">
        <f>IF(ISNUMBER(C10),INDEX('Δρομολόγια'!$D$6:$D$20,C10)&amp;"","")</f>
        <v/>
      </c>
      <c r="E10" s="20">
        <f>IF(ISNUMBER(C10),INDEX('Δρομολόγια'!$F$6:$F$20,C10),"")</f>
        <v/>
      </c>
      <c r="F10" s="5" t="n"/>
      <c r="G10" s="20">
        <f>IF(AND(ISNUMBER(E10),ISNUMBER(F10)),ROUND(ROUND(E10*100,0)*(100-F10)/100,0)/100,"")</f>
        <v/>
      </c>
      <c r="H10" s="13" t="n"/>
      <c r="I10" s="13" t="n"/>
      <c r="J10" s="5" t="n"/>
      <c r="K10" s="19">
        <f>IF(AND(ISNUMBER(F10),F10=INT(F10),F10&gt;=0,F10&lt;=99),INDEX('Πλέγμα'!$Q$6:$Q$105,F10+1)&amp;" τοις εκατό","")</f>
        <v/>
      </c>
      <c r="L10" s="20">
        <f>IF(ISNUMBER(C10),INDEX('Δρομολόγια'!$H$6:$H$20,C10),"")</f>
        <v/>
      </c>
      <c r="M10" s="21">
        <f>IF(B10="","",IF(NOT(ISNUMBER(C10)),"ΛΑΘΟΣ: ο κωδικός δεν υπάρχει στο φύλλο Δρομολόγια",IF(INDEX('Δρομολόγια'!$N$6:$N$20,C10)&lt;&gt;"ΝΑΙ","ΛΑΘΟΣ: δεν έχει καταγραφεί απόφαση ΝΑΙ του πελάτη (Δρομολόγια, στήλη N)",IF(NOT(AND(ISNUMBER(F10),F10=INT(F10),F10&gt;=0,F10&lt;=99)),"ΛΑΘΟΣ: η έκπτωση πρέπει να είναι ακέραιη, από 0 ως 99· δεκαδική στρογγυλοποιείται προς τα πάνω (§4.3.2.1)",IF(NOT(ISNUMBER(H10)),"ΛΑΘΟΣ: λείπει η τιμή της φόρμας",IF(OR(ABS(H10*100-ROUND(H10*100,0))&gt;0.000001,ROUND(H10*100,0)&lt;&gt;ROUND(G10*100,0)),"ΛΑΘΟΣ: η τιμή της φόρμας δεν είναι τιμή αναφοράς × (1 − έκπτωση) με 2 δεκαδικά (§4.3.2.1)",IF(NOT(ISNUMBER(I10)),"ΛΑΘΟΣ: λείπει η τιμή του Υποδείγματος",IF(ROUND(I10*100,0)&lt;&gt;ROUND(H10*100,0),"ΛΑΘΟΣ: το Υπόδειγμα δεν συμφωνεί με τη φόρμα (§4.3.2.1)",IF(NOT(AND(ISNUMBER(J10),J10=INT(J10),J10&gt;=1)),"ΛΑΘΟΣ: η σειρά προτεραιότητας πρέπει να είναι ακέραιος από 1 και πάνω (§4.3.2.1)",IF(COUNTIF($J$6:$J$20,J10)&gt;1,"ΛΑΘΟΣ: ίδια σειρά προτεραιότητας σε δύο γραμμές",IF(COUNTIF($B$6:$B$20,B10)&gt;1,"ΛΑΘΟΣ: το ίδιο δρομολόγιο δύο φορές",IF(AND(D10&lt;&gt;"",COUNTIFS($D$6:$D$20,D10,$F$6:$F$20,"&lt;&gt;"&amp;F10)&gt;0),"ΛΑΘΟΣ: στην ίδια ομάδα η έκπτωση πρέπει να είναι ίδια (§4.3.2.1)","OK"))))))))))))</f>
        <v/>
      </c>
    </row>
    <row r="11">
      <c r="A11" t="n">
        <v>6</v>
      </c>
      <c r="B11" s="5" t="n"/>
      <c r="C11" s="19">
        <f>IF(B11="","",IFERROR(MATCH(B11,'Δρομολόγια'!$C$6:$C$20,0),""))</f>
        <v/>
      </c>
      <c r="D11" s="19">
        <f>IF(ISNUMBER(C11),INDEX('Δρομολόγια'!$D$6:$D$20,C11)&amp;"","")</f>
        <v/>
      </c>
      <c r="E11" s="20">
        <f>IF(ISNUMBER(C11),INDEX('Δρομολόγια'!$F$6:$F$20,C11),"")</f>
        <v/>
      </c>
      <c r="F11" s="5" t="n"/>
      <c r="G11" s="20">
        <f>IF(AND(ISNUMBER(E11),ISNUMBER(F11)),ROUND(ROUND(E11*100,0)*(100-F11)/100,0)/100,"")</f>
        <v/>
      </c>
      <c r="H11" s="13" t="n"/>
      <c r="I11" s="13" t="n"/>
      <c r="J11" s="5" t="n"/>
      <c r="K11" s="19">
        <f>IF(AND(ISNUMBER(F11),F11=INT(F11),F11&gt;=0,F11&lt;=99),INDEX('Πλέγμα'!$Q$6:$Q$105,F11+1)&amp;" τοις εκατό","")</f>
        <v/>
      </c>
      <c r="L11" s="20">
        <f>IF(ISNUMBER(C11),INDEX('Δρομολόγια'!$H$6:$H$20,C11),"")</f>
        <v/>
      </c>
      <c r="M11" s="21">
        <f>IF(B11="","",IF(NOT(ISNUMBER(C11)),"ΛΑΘΟΣ: ο κωδικός δεν υπάρχει στο φύλλο Δρομολόγια",IF(INDEX('Δρομολόγια'!$N$6:$N$20,C11)&lt;&gt;"ΝΑΙ","ΛΑΘΟΣ: δεν έχει καταγραφεί απόφαση ΝΑΙ του πελάτη (Δρομολόγια, στήλη N)",IF(NOT(AND(ISNUMBER(F11),F11=INT(F11),F11&gt;=0,F11&lt;=99)),"ΛΑΘΟΣ: η έκπτωση πρέπει να είναι ακέραιη, από 0 ως 99· δεκαδική στρογγυλοποιείται προς τα πάνω (§4.3.2.1)",IF(NOT(ISNUMBER(H11)),"ΛΑΘΟΣ: λείπει η τιμή της φόρμας",IF(OR(ABS(H11*100-ROUND(H11*100,0))&gt;0.000001,ROUND(H11*100,0)&lt;&gt;ROUND(G11*100,0)),"ΛΑΘΟΣ: η τιμή της φόρμας δεν είναι τιμή αναφοράς × (1 − έκπτωση) με 2 δεκαδικά (§4.3.2.1)",IF(NOT(ISNUMBER(I11)),"ΛΑΘΟΣ: λείπει η τιμή του Υποδείγματος",IF(ROUND(I11*100,0)&lt;&gt;ROUND(H11*100,0),"ΛΑΘΟΣ: το Υπόδειγμα δεν συμφωνεί με τη φόρμα (§4.3.2.1)",IF(NOT(AND(ISNUMBER(J11),J11=INT(J11),J11&gt;=1)),"ΛΑΘΟΣ: η σειρά προτεραιότητας πρέπει να είναι ακέραιος από 1 και πάνω (§4.3.2.1)",IF(COUNTIF($J$6:$J$20,J11)&gt;1,"ΛΑΘΟΣ: ίδια σειρά προτεραιότητας σε δύο γραμμές",IF(COUNTIF($B$6:$B$20,B11)&gt;1,"ΛΑΘΟΣ: το ίδιο δρομολόγιο δύο φορές",IF(AND(D11&lt;&gt;"",COUNTIFS($D$6:$D$20,D11,$F$6:$F$20,"&lt;&gt;"&amp;F11)&gt;0),"ΛΑΘΟΣ: στην ίδια ομάδα η έκπτωση πρέπει να είναι ίδια (§4.3.2.1)","OK"))))))))))))</f>
        <v/>
      </c>
    </row>
    <row r="12">
      <c r="A12" t="n">
        <v>7</v>
      </c>
      <c r="B12" s="5" t="n"/>
      <c r="C12" s="19">
        <f>IF(B12="","",IFERROR(MATCH(B12,'Δρομολόγια'!$C$6:$C$20,0),""))</f>
        <v/>
      </c>
      <c r="D12" s="19">
        <f>IF(ISNUMBER(C12),INDEX('Δρομολόγια'!$D$6:$D$20,C12)&amp;"","")</f>
        <v/>
      </c>
      <c r="E12" s="20">
        <f>IF(ISNUMBER(C12),INDEX('Δρομολόγια'!$F$6:$F$20,C12),"")</f>
        <v/>
      </c>
      <c r="F12" s="5" t="n"/>
      <c r="G12" s="20">
        <f>IF(AND(ISNUMBER(E12),ISNUMBER(F12)),ROUND(ROUND(E12*100,0)*(100-F12)/100,0)/100,"")</f>
        <v/>
      </c>
      <c r="H12" s="13" t="n"/>
      <c r="I12" s="13" t="n"/>
      <c r="J12" s="5" t="n"/>
      <c r="K12" s="19">
        <f>IF(AND(ISNUMBER(F12),F12=INT(F12),F12&gt;=0,F12&lt;=99),INDEX('Πλέγμα'!$Q$6:$Q$105,F12+1)&amp;" τοις εκατό","")</f>
        <v/>
      </c>
      <c r="L12" s="20">
        <f>IF(ISNUMBER(C12),INDEX('Δρομολόγια'!$H$6:$H$20,C12),"")</f>
        <v/>
      </c>
      <c r="M12" s="21">
        <f>IF(B12="","",IF(NOT(ISNUMBER(C12)),"ΛΑΘΟΣ: ο κωδικός δεν υπάρχει στο φύλλο Δρομολόγια",IF(INDEX('Δρομολόγια'!$N$6:$N$20,C12)&lt;&gt;"ΝΑΙ","ΛΑΘΟΣ: δεν έχει καταγραφεί απόφαση ΝΑΙ του πελάτη (Δρομολόγια, στήλη N)",IF(NOT(AND(ISNUMBER(F12),F12=INT(F12),F12&gt;=0,F12&lt;=99)),"ΛΑΘΟΣ: η έκπτωση πρέπει να είναι ακέραιη, από 0 ως 99· δεκαδική στρογγυλοποιείται προς τα πάνω (§4.3.2.1)",IF(NOT(ISNUMBER(H12)),"ΛΑΘΟΣ: λείπει η τιμή της φόρμας",IF(OR(ABS(H12*100-ROUND(H12*100,0))&gt;0.000001,ROUND(H12*100,0)&lt;&gt;ROUND(G12*100,0)),"ΛΑΘΟΣ: η τιμή της φόρμας δεν είναι τιμή αναφοράς × (1 − έκπτωση) με 2 δεκαδικά (§4.3.2.1)",IF(NOT(ISNUMBER(I12)),"ΛΑΘΟΣ: λείπει η τιμή του Υποδείγματος",IF(ROUND(I12*100,0)&lt;&gt;ROUND(H12*100,0),"ΛΑΘΟΣ: το Υπόδειγμα δεν συμφωνεί με τη φόρμα (§4.3.2.1)",IF(NOT(AND(ISNUMBER(J12),J12=INT(J12),J12&gt;=1)),"ΛΑΘΟΣ: η σειρά προτεραιότητας πρέπει να είναι ακέραιος από 1 και πάνω (§4.3.2.1)",IF(COUNTIF($J$6:$J$20,J12)&gt;1,"ΛΑΘΟΣ: ίδια σειρά προτεραιότητας σε δύο γραμμές",IF(COUNTIF($B$6:$B$20,B12)&gt;1,"ΛΑΘΟΣ: το ίδιο δρομολόγιο δύο φορές",IF(AND(D12&lt;&gt;"",COUNTIFS($D$6:$D$20,D12,$F$6:$F$20,"&lt;&gt;"&amp;F12)&gt;0),"ΛΑΘΟΣ: στην ίδια ομάδα η έκπτωση πρέπει να είναι ίδια (§4.3.2.1)","OK"))))))))))))</f>
        <v/>
      </c>
    </row>
    <row r="13">
      <c r="A13" t="n">
        <v>8</v>
      </c>
      <c r="B13" s="5" t="n"/>
      <c r="C13" s="19">
        <f>IF(B13="","",IFERROR(MATCH(B13,'Δρομολόγια'!$C$6:$C$20,0),""))</f>
        <v/>
      </c>
      <c r="D13" s="19">
        <f>IF(ISNUMBER(C13),INDEX('Δρομολόγια'!$D$6:$D$20,C13)&amp;"","")</f>
        <v/>
      </c>
      <c r="E13" s="20">
        <f>IF(ISNUMBER(C13),INDEX('Δρομολόγια'!$F$6:$F$20,C13),"")</f>
        <v/>
      </c>
      <c r="F13" s="5" t="n"/>
      <c r="G13" s="20">
        <f>IF(AND(ISNUMBER(E13),ISNUMBER(F13)),ROUND(ROUND(E13*100,0)*(100-F13)/100,0)/100,"")</f>
        <v/>
      </c>
      <c r="H13" s="13" t="n"/>
      <c r="I13" s="13" t="n"/>
      <c r="J13" s="5" t="n"/>
      <c r="K13" s="19">
        <f>IF(AND(ISNUMBER(F13),F13=INT(F13),F13&gt;=0,F13&lt;=99),INDEX('Πλέγμα'!$Q$6:$Q$105,F13+1)&amp;" τοις εκατό","")</f>
        <v/>
      </c>
      <c r="L13" s="20">
        <f>IF(ISNUMBER(C13),INDEX('Δρομολόγια'!$H$6:$H$20,C13),"")</f>
        <v/>
      </c>
      <c r="M13" s="21">
        <f>IF(B13="","",IF(NOT(ISNUMBER(C13)),"ΛΑΘΟΣ: ο κωδικός δεν υπάρχει στο φύλλο Δρομολόγια",IF(INDEX('Δρομολόγια'!$N$6:$N$20,C13)&lt;&gt;"ΝΑΙ","ΛΑΘΟΣ: δεν έχει καταγραφεί απόφαση ΝΑΙ του πελάτη (Δρομολόγια, στήλη N)",IF(NOT(AND(ISNUMBER(F13),F13=INT(F13),F13&gt;=0,F13&lt;=99)),"ΛΑΘΟΣ: η έκπτωση πρέπει να είναι ακέραιη, από 0 ως 99· δεκαδική στρογγυλοποιείται προς τα πάνω (§4.3.2.1)",IF(NOT(ISNUMBER(H13)),"ΛΑΘΟΣ: λείπει η τιμή της φόρμας",IF(OR(ABS(H13*100-ROUND(H13*100,0))&gt;0.000001,ROUND(H13*100,0)&lt;&gt;ROUND(G13*100,0)),"ΛΑΘΟΣ: η τιμή της φόρμας δεν είναι τιμή αναφοράς × (1 − έκπτωση) με 2 δεκαδικά (§4.3.2.1)",IF(NOT(ISNUMBER(I13)),"ΛΑΘΟΣ: λείπει η τιμή του Υποδείγματος",IF(ROUND(I13*100,0)&lt;&gt;ROUND(H13*100,0),"ΛΑΘΟΣ: το Υπόδειγμα δεν συμφωνεί με τη φόρμα (§4.3.2.1)",IF(NOT(AND(ISNUMBER(J13),J13=INT(J13),J13&gt;=1)),"ΛΑΘΟΣ: η σειρά προτεραιότητας πρέπει να είναι ακέραιος από 1 και πάνω (§4.3.2.1)",IF(COUNTIF($J$6:$J$20,J13)&gt;1,"ΛΑΘΟΣ: ίδια σειρά προτεραιότητας σε δύο γραμμές",IF(COUNTIF($B$6:$B$20,B13)&gt;1,"ΛΑΘΟΣ: το ίδιο δρομολόγιο δύο φορές",IF(AND(D13&lt;&gt;"",COUNTIFS($D$6:$D$20,D13,$F$6:$F$20,"&lt;&gt;"&amp;F13)&gt;0),"ΛΑΘΟΣ: στην ίδια ομάδα η έκπτωση πρέπει να είναι ίδια (§4.3.2.1)","OK"))))))))))))</f>
        <v/>
      </c>
    </row>
    <row r="14">
      <c r="A14" t="n">
        <v>9</v>
      </c>
      <c r="B14" s="5" t="n"/>
      <c r="C14" s="19">
        <f>IF(B14="","",IFERROR(MATCH(B14,'Δρομολόγια'!$C$6:$C$20,0),""))</f>
        <v/>
      </c>
      <c r="D14" s="19">
        <f>IF(ISNUMBER(C14),INDEX('Δρομολόγια'!$D$6:$D$20,C14)&amp;"","")</f>
        <v/>
      </c>
      <c r="E14" s="20">
        <f>IF(ISNUMBER(C14),INDEX('Δρομολόγια'!$F$6:$F$20,C14),"")</f>
        <v/>
      </c>
      <c r="F14" s="5" t="n"/>
      <c r="G14" s="20">
        <f>IF(AND(ISNUMBER(E14),ISNUMBER(F14)),ROUND(ROUND(E14*100,0)*(100-F14)/100,0)/100,"")</f>
        <v/>
      </c>
      <c r="H14" s="13" t="n"/>
      <c r="I14" s="13" t="n"/>
      <c r="J14" s="5" t="n"/>
      <c r="K14" s="19">
        <f>IF(AND(ISNUMBER(F14),F14=INT(F14),F14&gt;=0,F14&lt;=99),INDEX('Πλέγμα'!$Q$6:$Q$105,F14+1)&amp;" τοις εκατό","")</f>
        <v/>
      </c>
      <c r="L14" s="20">
        <f>IF(ISNUMBER(C14),INDEX('Δρομολόγια'!$H$6:$H$20,C14),"")</f>
        <v/>
      </c>
      <c r="M14" s="21">
        <f>IF(B14="","",IF(NOT(ISNUMBER(C14)),"ΛΑΘΟΣ: ο κωδικός δεν υπάρχει στο φύλλο Δρομολόγια",IF(INDEX('Δρομολόγια'!$N$6:$N$20,C14)&lt;&gt;"ΝΑΙ","ΛΑΘΟΣ: δεν έχει καταγραφεί απόφαση ΝΑΙ του πελάτη (Δρομολόγια, στήλη N)",IF(NOT(AND(ISNUMBER(F14),F14=INT(F14),F14&gt;=0,F14&lt;=99)),"ΛΑΘΟΣ: η έκπτωση πρέπει να είναι ακέραιη, από 0 ως 99· δεκαδική στρογγυλοποιείται προς τα πάνω (§4.3.2.1)",IF(NOT(ISNUMBER(H14)),"ΛΑΘΟΣ: λείπει η τιμή της φόρμας",IF(OR(ABS(H14*100-ROUND(H14*100,0))&gt;0.000001,ROUND(H14*100,0)&lt;&gt;ROUND(G14*100,0)),"ΛΑΘΟΣ: η τιμή της φόρμας δεν είναι τιμή αναφοράς × (1 − έκπτωση) με 2 δεκαδικά (§4.3.2.1)",IF(NOT(ISNUMBER(I14)),"ΛΑΘΟΣ: λείπει η τιμή του Υποδείγματος",IF(ROUND(I14*100,0)&lt;&gt;ROUND(H14*100,0),"ΛΑΘΟΣ: το Υπόδειγμα δεν συμφωνεί με τη φόρμα (§4.3.2.1)",IF(NOT(AND(ISNUMBER(J14),J14=INT(J14),J14&gt;=1)),"ΛΑΘΟΣ: η σειρά προτεραιότητας πρέπει να είναι ακέραιος από 1 και πάνω (§4.3.2.1)",IF(COUNTIF($J$6:$J$20,J14)&gt;1,"ΛΑΘΟΣ: ίδια σειρά προτεραιότητας σε δύο γραμμές",IF(COUNTIF($B$6:$B$20,B14)&gt;1,"ΛΑΘΟΣ: το ίδιο δρομολόγιο δύο φορές",IF(AND(D14&lt;&gt;"",COUNTIFS($D$6:$D$20,D14,$F$6:$F$20,"&lt;&gt;"&amp;F14)&gt;0),"ΛΑΘΟΣ: στην ίδια ομάδα η έκπτωση πρέπει να είναι ίδια (§4.3.2.1)","OK"))))))))))))</f>
        <v/>
      </c>
    </row>
    <row r="15">
      <c r="A15" t="n">
        <v>10</v>
      </c>
      <c r="B15" s="5" t="n"/>
      <c r="C15" s="19">
        <f>IF(B15="","",IFERROR(MATCH(B15,'Δρομολόγια'!$C$6:$C$20,0),""))</f>
        <v/>
      </c>
      <c r="D15" s="19">
        <f>IF(ISNUMBER(C15),INDEX('Δρομολόγια'!$D$6:$D$20,C15)&amp;"","")</f>
        <v/>
      </c>
      <c r="E15" s="20">
        <f>IF(ISNUMBER(C15),INDEX('Δρομολόγια'!$F$6:$F$20,C15),"")</f>
        <v/>
      </c>
      <c r="F15" s="5" t="n"/>
      <c r="G15" s="20">
        <f>IF(AND(ISNUMBER(E15),ISNUMBER(F15)),ROUND(ROUND(E15*100,0)*(100-F15)/100,0)/100,"")</f>
        <v/>
      </c>
      <c r="H15" s="13" t="n"/>
      <c r="I15" s="13" t="n"/>
      <c r="J15" s="5" t="n"/>
      <c r="K15" s="19">
        <f>IF(AND(ISNUMBER(F15),F15=INT(F15),F15&gt;=0,F15&lt;=99),INDEX('Πλέγμα'!$Q$6:$Q$105,F15+1)&amp;" τοις εκατό","")</f>
        <v/>
      </c>
      <c r="L15" s="20">
        <f>IF(ISNUMBER(C15),INDEX('Δρομολόγια'!$H$6:$H$20,C15),"")</f>
        <v/>
      </c>
      <c r="M15" s="21">
        <f>IF(B15="","",IF(NOT(ISNUMBER(C15)),"ΛΑΘΟΣ: ο κωδικός δεν υπάρχει στο φύλλο Δρομολόγια",IF(INDEX('Δρομολόγια'!$N$6:$N$20,C15)&lt;&gt;"ΝΑΙ","ΛΑΘΟΣ: δεν έχει καταγραφεί απόφαση ΝΑΙ του πελάτη (Δρομολόγια, στήλη N)",IF(NOT(AND(ISNUMBER(F15),F15=INT(F15),F15&gt;=0,F15&lt;=99)),"ΛΑΘΟΣ: η έκπτωση πρέπει να είναι ακέραιη, από 0 ως 99· δεκαδική στρογγυλοποιείται προς τα πάνω (§4.3.2.1)",IF(NOT(ISNUMBER(H15)),"ΛΑΘΟΣ: λείπει η τιμή της φόρμας",IF(OR(ABS(H15*100-ROUND(H15*100,0))&gt;0.000001,ROUND(H15*100,0)&lt;&gt;ROUND(G15*100,0)),"ΛΑΘΟΣ: η τιμή της φόρμας δεν είναι τιμή αναφοράς × (1 − έκπτωση) με 2 δεκαδικά (§4.3.2.1)",IF(NOT(ISNUMBER(I15)),"ΛΑΘΟΣ: λείπει η τιμή του Υποδείγματος",IF(ROUND(I15*100,0)&lt;&gt;ROUND(H15*100,0),"ΛΑΘΟΣ: το Υπόδειγμα δεν συμφωνεί με τη φόρμα (§4.3.2.1)",IF(NOT(AND(ISNUMBER(J15),J15=INT(J15),J15&gt;=1)),"ΛΑΘΟΣ: η σειρά προτεραιότητας πρέπει να είναι ακέραιος από 1 και πάνω (§4.3.2.1)",IF(COUNTIF($J$6:$J$20,J15)&gt;1,"ΛΑΘΟΣ: ίδια σειρά προτεραιότητας σε δύο γραμμές",IF(COUNTIF($B$6:$B$20,B15)&gt;1,"ΛΑΘΟΣ: το ίδιο δρομολόγιο δύο φορές",IF(AND(D15&lt;&gt;"",COUNTIFS($D$6:$D$20,D15,$F$6:$F$20,"&lt;&gt;"&amp;F15)&gt;0),"ΛΑΘΟΣ: στην ίδια ομάδα η έκπτωση πρέπει να είναι ίδια (§4.3.2.1)","OK"))))))))))))</f>
        <v/>
      </c>
    </row>
    <row r="16">
      <c r="A16" t="n">
        <v>11</v>
      </c>
      <c r="B16" s="5" t="n"/>
      <c r="C16" s="19">
        <f>IF(B16="","",IFERROR(MATCH(B16,'Δρομολόγια'!$C$6:$C$20,0),""))</f>
        <v/>
      </c>
      <c r="D16" s="19">
        <f>IF(ISNUMBER(C16),INDEX('Δρομολόγια'!$D$6:$D$20,C16)&amp;"","")</f>
        <v/>
      </c>
      <c r="E16" s="20">
        <f>IF(ISNUMBER(C16),INDEX('Δρομολόγια'!$F$6:$F$20,C16),"")</f>
        <v/>
      </c>
      <c r="F16" s="5" t="n"/>
      <c r="G16" s="20">
        <f>IF(AND(ISNUMBER(E16),ISNUMBER(F16)),ROUND(ROUND(E16*100,0)*(100-F16)/100,0)/100,"")</f>
        <v/>
      </c>
      <c r="H16" s="13" t="n"/>
      <c r="I16" s="13" t="n"/>
      <c r="J16" s="5" t="n"/>
      <c r="K16" s="19">
        <f>IF(AND(ISNUMBER(F16),F16=INT(F16),F16&gt;=0,F16&lt;=99),INDEX('Πλέγμα'!$Q$6:$Q$105,F16+1)&amp;" τοις εκατό","")</f>
        <v/>
      </c>
      <c r="L16" s="20">
        <f>IF(ISNUMBER(C16),INDEX('Δρομολόγια'!$H$6:$H$20,C16),"")</f>
        <v/>
      </c>
      <c r="M16" s="21">
        <f>IF(B16="","",IF(NOT(ISNUMBER(C16)),"ΛΑΘΟΣ: ο κωδικός δεν υπάρχει στο φύλλο Δρομολόγια",IF(INDEX('Δρομολόγια'!$N$6:$N$20,C16)&lt;&gt;"ΝΑΙ","ΛΑΘΟΣ: δεν έχει καταγραφεί απόφαση ΝΑΙ του πελάτη (Δρομολόγια, στήλη N)",IF(NOT(AND(ISNUMBER(F16),F16=INT(F16),F16&gt;=0,F16&lt;=99)),"ΛΑΘΟΣ: η έκπτωση πρέπει να είναι ακέραιη, από 0 ως 99· δεκαδική στρογγυλοποιείται προς τα πάνω (§4.3.2.1)",IF(NOT(ISNUMBER(H16)),"ΛΑΘΟΣ: λείπει η τιμή της φόρμας",IF(OR(ABS(H16*100-ROUND(H16*100,0))&gt;0.000001,ROUND(H16*100,0)&lt;&gt;ROUND(G16*100,0)),"ΛΑΘΟΣ: η τιμή της φόρμας δεν είναι τιμή αναφοράς × (1 − έκπτωση) με 2 δεκαδικά (§4.3.2.1)",IF(NOT(ISNUMBER(I16)),"ΛΑΘΟΣ: λείπει η τιμή του Υποδείγματος",IF(ROUND(I16*100,0)&lt;&gt;ROUND(H16*100,0),"ΛΑΘΟΣ: το Υπόδειγμα δεν συμφωνεί με τη φόρμα (§4.3.2.1)",IF(NOT(AND(ISNUMBER(J16),J16=INT(J16),J16&gt;=1)),"ΛΑΘΟΣ: η σειρά προτεραιότητας πρέπει να είναι ακέραιος από 1 και πάνω (§4.3.2.1)",IF(COUNTIF($J$6:$J$20,J16)&gt;1,"ΛΑΘΟΣ: ίδια σειρά προτεραιότητας σε δύο γραμμές",IF(COUNTIF($B$6:$B$20,B16)&gt;1,"ΛΑΘΟΣ: το ίδιο δρομολόγιο δύο φορές",IF(AND(D16&lt;&gt;"",COUNTIFS($D$6:$D$20,D16,$F$6:$F$20,"&lt;&gt;"&amp;F16)&gt;0),"ΛΑΘΟΣ: στην ίδια ομάδα η έκπτωση πρέπει να είναι ίδια (§4.3.2.1)","OK"))))))))))))</f>
        <v/>
      </c>
    </row>
    <row r="17">
      <c r="A17" t="n">
        <v>12</v>
      </c>
      <c r="B17" s="5" t="n"/>
      <c r="C17" s="19">
        <f>IF(B17="","",IFERROR(MATCH(B17,'Δρομολόγια'!$C$6:$C$20,0),""))</f>
        <v/>
      </c>
      <c r="D17" s="19">
        <f>IF(ISNUMBER(C17),INDEX('Δρομολόγια'!$D$6:$D$20,C17)&amp;"","")</f>
        <v/>
      </c>
      <c r="E17" s="20">
        <f>IF(ISNUMBER(C17),INDEX('Δρομολόγια'!$F$6:$F$20,C17),"")</f>
        <v/>
      </c>
      <c r="F17" s="5" t="n"/>
      <c r="G17" s="20">
        <f>IF(AND(ISNUMBER(E17),ISNUMBER(F17)),ROUND(ROUND(E17*100,0)*(100-F17)/100,0)/100,"")</f>
        <v/>
      </c>
      <c r="H17" s="13" t="n"/>
      <c r="I17" s="13" t="n"/>
      <c r="J17" s="5" t="n"/>
      <c r="K17" s="19">
        <f>IF(AND(ISNUMBER(F17),F17=INT(F17),F17&gt;=0,F17&lt;=99),INDEX('Πλέγμα'!$Q$6:$Q$105,F17+1)&amp;" τοις εκατό","")</f>
        <v/>
      </c>
      <c r="L17" s="20">
        <f>IF(ISNUMBER(C17),INDEX('Δρομολόγια'!$H$6:$H$20,C17),"")</f>
        <v/>
      </c>
      <c r="M17" s="21">
        <f>IF(B17="","",IF(NOT(ISNUMBER(C17)),"ΛΑΘΟΣ: ο κωδικός δεν υπάρχει στο φύλλο Δρομολόγια",IF(INDEX('Δρομολόγια'!$N$6:$N$20,C17)&lt;&gt;"ΝΑΙ","ΛΑΘΟΣ: δεν έχει καταγραφεί απόφαση ΝΑΙ του πελάτη (Δρομολόγια, στήλη N)",IF(NOT(AND(ISNUMBER(F17),F17=INT(F17),F17&gt;=0,F17&lt;=99)),"ΛΑΘΟΣ: η έκπτωση πρέπει να είναι ακέραιη, από 0 ως 99· δεκαδική στρογγυλοποιείται προς τα πάνω (§4.3.2.1)",IF(NOT(ISNUMBER(H17)),"ΛΑΘΟΣ: λείπει η τιμή της φόρμας",IF(OR(ABS(H17*100-ROUND(H17*100,0))&gt;0.000001,ROUND(H17*100,0)&lt;&gt;ROUND(G17*100,0)),"ΛΑΘΟΣ: η τιμή της φόρμας δεν είναι τιμή αναφοράς × (1 − έκπτωση) με 2 δεκαδικά (§4.3.2.1)",IF(NOT(ISNUMBER(I17)),"ΛΑΘΟΣ: λείπει η τιμή του Υποδείγματος",IF(ROUND(I17*100,0)&lt;&gt;ROUND(H17*100,0),"ΛΑΘΟΣ: το Υπόδειγμα δεν συμφωνεί με τη φόρμα (§4.3.2.1)",IF(NOT(AND(ISNUMBER(J17),J17=INT(J17),J17&gt;=1)),"ΛΑΘΟΣ: η σειρά προτεραιότητας πρέπει να είναι ακέραιος από 1 και πάνω (§4.3.2.1)",IF(COUNTIF($J$6:$J$20,J17)&gt;1,"ΛΑΘΟΣ: ίδια σειρά προτεραιότητας σε δύο γραμμές",IF(COUNTIF($B$6:$B$20,B17)&gt;1,"ΛΑΘΟΣ: το ίδιο δρομολόγιο δύο φορές",IF(AND(D17&lt;&gt;"",COUNTIFS($D$6:$D$20,D17,$F$6:$F$20,"&lt;&gt;"&amp;F17)&gt;0),"ΛΑΘΟΣ: στην ίδια ομάδα η έκπτωση πρέπει να είναι ίδια (§4.3.2.1)","OK"))))))))))))</f>
        <v/>
      </c>
    </row>
    <row r="18">
      <c r="A18" t="n">
        <v>13</v>
      </c>
      <c r="B18" s="5" t="n"/>
      <c r="C18" s="19">
        <f>IF(B18="","",IFERROR(MATCH(B18,'Δρομολόγια'!$C$6:$C$20,0),""))</f>
        <v/>
      </c>
      <c r="D18" s="19">
        <f>IF(ISNUMBER(C18),INDEX('Δρομολόγια'!$D$6:$D$20,C18)&amp;"","")</f>
        <v/>
      </c>
      <c r="E18" s="20">
        <f>IF(ISNUMBER(C18),INDEX('Δρομολόγια'!$F$6:$F$20,C18),"")</f>
        <v/>
      </c>
      <c r="F18" s="5" t="n"/>
      <c r="G18" s="20">
        <f>IF(AND(ISNUMBER(E18),ISNUMBER(F18)),ROUND(ROUND(E18*100,0)*(100-F18)/100,0)/100,"")</f>
        <v/>
      </c>
      <c r="H18" s="13" t="n"/>
      <c r="I18" s="13" t="n"/>
      <c r="J18" s="5" t="n"/>
      <c r="K18" s="19">
        <f>IF(AND(ISNUMBER(F18),F18=INT(F18),F18&gt;=0,F18&lt;=99),INDEX('Πλέγμα'!$Q$6:$Q$105,F18+1)&amp;" τοις εκατό","")</f>
        <v/>
      </c>
      <c r="L18" s="20">
        <f>IF(ISNUMBER(C18),INDEX('Δρομολόγια'!$H$6:$H$20,C18),"")</f>
        <v/>
      </c>
      <c r="M18" s="21">
        <f>IF(B18="","",IF(NOT(ISNUMBER(C18)),"ΛΑΘΟΣ: ο κωδικός δεν υπάρχει στο φύλλο Δρομολόγια",IF(INDEX('Δρομολόγια'!$N$6:$N$20,C18)&lt;&gt;"ΝΑΙ","ΛΑΘΟΣ: δεν έχει καταγραφεί απόφαση ΝΑΙ του πελάτη (Δρομολόγια, στήλη N)",IF(NOT(AND(ISNUMBER(F18),F18=INT(F18),F18&gt;=0,F18&lt;=99)),"ΛΑΘΟΣ: η έκπτωση πρέπει να είναι ακέραιη, από 0 ως 99· δεκαδική στρογγυλοποιείται προς τα πάνω (§4.3.2.1)",IF(NOT(ISNUMBER(H18)),"ΛΑΘΟΣ: λείπει η τιμή της φόρμας",IF(OR(ABS(H18*100-ROUND(H18*100,0))&gt;0.000001,ROUND(H18*100,0)&lt;&gt;ROUND(G18*100,0)),"ΛΑΘΟΣ: η τιμή της φόρμας δεν είναι τιμή αναφοράς × (1 − έκπτωση) με 2 δεκαδικά (§4.3.2.1)",IF(NOT(ISNUMBER(I18)),"ΛΑΘΟΣ: λείπει η τιμή του Υποδείγματος",IF(ROUND(I18*100,0)&lt;&gt;ROUND(H18*100,0),"ΛΑΘΟΣ: το Υπόδειγμα δεν συμφωνεί με τη φόρμα (§4.3.2.1)",IF(NOT(AND(ISNUMBER(J18),J18=INT(J18),J18&gt;=1)),"ΛΑΘΟΣ: η σειρά προτεραιότητας πρέπει να είναι ακέραιος από 1 και πάνω (§4.3.2.1)",IF(COUNTIF($J$6:$J$20,J18)&gt;1,"ΛΑΘΟΣ: ίδια σειρά προτεραιότητας σε δύο γραμμές",IF(COUNTIF($B$6:$B$20,B18)&gt;1,"ΛΑΘΟΣ: το ίδιο δρομολόγιο δύο φορές",IF(AND(D18&lt;&gt;"",COUNTIFS($D$6:$D$20,D18,$F$6:$F$20,"&lt;&gt;"&amp;F18)&gt;0),"ΛΑΘΟΣ: στην ίδια ομάδα η έκπτωση πρέπει να είναι ίδια (§4.3.2.1)","OK"))))))))))))</f>
        <v/>
      </c>
    </row>
    <row r="19">
      <c r="A19" t="n">
        <v>14</v>
      </c>
      <c r="B19" s="5" t="n"/>
      <c r="C19" s="19">
        <f>IF(B19="","",IFERROR(MATCH(B19,'Δρομολόγια'!$C$6:$C$20,0),""))</f>
        <v/>
      </c>
      <c r="D19" s="19">
        <f>IF(ISNUMBER(C19),INDEX('Δρομολόγια'!$D$6:$D$20,C19)&amp;"","")</f>
        <v/>
      </c>
      <c r="E19" s="20">
        <f>IF(ISNUMBER(C19),INDEX('Δρομολόγια'!$F$6:$F$20,C19),"")</f>
        <v/>
      </c>
      <c r="F19" s="5" t="n"/>
      <c r="G19" s="20">
        <f>IF(AND(ISNUMBER(E19),ISNUMBER(F19)),ROUND(ROUND(E19*100,0)*(100-F19)/100,0)/100,"")</f>
        <v/>
      </c>
      <c r="H19" s="13" t="n"/>
      <c r="I19" s="13" t="n"/>
      <c r="J19" s="5" t="n"/>
      <c r="K19" s="19">
        <f>IF(AND(ISNUMBER(F19),F19=INT(F19),F19&gt;=0,F19&lt;=99),INDEX('Πλέγμα'!$Q$6:$Q$105,F19+1)&amp;" τοις εκατό","")</f>
        <v/>
      </c>
      <c r="L19" s="20">
        <f>IF(ISNUMBER(C19),INDEX('Δρομολόγια'!$H$6:$H$20,C19),"")</f>
        <v/>
      </c>
      <c r="M19" s="21">
        <f>IF(B19="","",IF(NOT(ISNUMBER(C19)),"ΛΑΘΟΣ: ο κωδικός δεν υπάρχει στο φύλλο Δρομολόγια",IF(INDEX('Δρομολόγια'!$N$6:$N$20,C19)&lt;&gt;"ΝΑΙ","ΛΑΘΟΣ: δεν έχει καταγραφεί απόφαση ΝΑΙ του πελάτη (Δρομολόγια, στήλη N)",IF(NOT(AND(ISNUMBER(F19),F19=INT(F19),F19&gt;=0,F19&lt;=99)),"ΛΑΘΟΣ: η έκπτωση πρέπει να είναι ακέραιη, από 0 ως 99· δεκαδική στρογγυλοποιείται προς τα πάνω (§4.3.2.1)",IF(NOT(ISNUMBER(H19)),"ΛΑΘΟΣ: λείπει η τιμή της φόρμας",IF(OR(ABS(H19*100-ROUND(H19*100,0))&gt;0.000001,ROUND(H19*100,0)&lt;&gt;ROUND(G19*100,0)),"ΛΑΘΟΣ: η τιμή της φόρμας δεν είναι τιμή αναφοράς × (1 − έκπτωση) με 2 δεκαδικά (§4.3.2.1)",IF(NOT(ISNUMBER(I19)),"ΛΑΘΟΣ: λείπει η τιμή του Υποδείγματος",IF(ROUND(I19*100,0)&lt;&gt;ROUND(H19*100,0),"ΛΑΘΟΣ: το Υπόδειγμα δεν συμφωνεί με τη φόρμα (§4.3.2.1)",IF(NOT(AND(ISNUMBER(J19),J19=INT(J19),J19&gt;=1)),"ΛΑΘΟΣ: η σειρά προτεραιότητας πρέπει να είναι ακέραιος από 1 και πάνω (§4.3.2.1)",IF(COUNTIF($J$6:$J$20,J19)&gt;1,"ΛΑΘΟΣ: ίδια σειρά προτεραιότητας σε δύο γραμμές",IF(COUNTIF($B$6:$B$20,B19)&gt;1,"ΛΑΘΟΣ: το ίδιο δρομολόγιο δύο φορές",IF(AND(D19&lt;&gt;"",COUNTIFS($D$6:$D$20,D19,$F$6:$F$20,"&lt;&gt;"&amp;F19)&gt;0),"ΛΑΘΟΣ: στην ίδια ομάδα η έκπτωση πρέπει να είναι ίδια (§4.3.2.1)","OK"))))))))))))</f>
        <v/>
      </c>
    </row>
    <row r="20">
      <c r="A20" t="n">
        <v>15</v>
      </c>
      <c r="B20" s="5" t="n"/>
      <c r="C20" s="19">
        <f>IF(B20="","",IFERROR(MATCH(B20,'Δρομολόγια'!$C$6:$C$20,0),""))</f>
        <v/>
      </c>
      <c r="D20" s="19">
        <f>IF(ISNUMBER(C20),INDEX('Δρομολόγια'!$D$6:$D$20,C20)&amp;"","")</f>
        <v/>
      </c>
      <c r="E20" s="20">
        <f>IF(ISNUMBER(C20),INDEX('Δρομολόγια'!$F$6:$F$20,C20),"")</f>
        <v/>
      </c>
      <c r="F20" s="5" t="n"/>
      <c r="G20" s="20">
        <f>IF(AND(ISNUMBER(E20),ISNUMBER(F20)),ROUND(ROUND(E20*100,0)*(100-F20)/100,0)/100,"")</f>
        <v/>
      </c>
      <c r="H20" s="13" t="n"/>
      <c r="I20" s="13" t="n"/>
      <c r="J20" s="5" t="n"/>
      <c r="K20" s="19">
        <f>IF(AND(ISNUMBER(F20),F20=INT(F20),F20&gt;=0,F20&lt;=99),INDEX('Πλέγμα'!$Q$6:$Q$105,F20+1)&amp;" τοις εκατό","")</f>
        <v/>
      </c>
      <c r="L20" s="20">
        <f>IF(ISNUMBER(C20),INDEX('Δρομολόγια'!$H$6:$H$20,C20),"")</f>
        <v/>
      </c>
      <c r="M20" s="21">
        <f>IF(B20="","",IF(NOT(ISNUMBER(C20)),"ΛΑΘΟΣ: ο κωδικός δεν υπάρχει στο φύλλο Δρομολόγια",IF(INDEX('Δρομολόγια'!$N$6:$N$20,C20)&lt;&gt;"ΝΑΙ","ΛΑΘΟΣ: δεν έχει καταγραφεί απόφαση ΝΑΙ του πελάτη (Δρομολόγια, στήλη N)",IF(NOT(AND(ISNUMBER(F20),F20=INT(F20),F20&gt;=0,F20&lt;=99)),"ΛΑΘΟΣ: η έκπτωση πρέπει να είναι ακέραιη, από 0 ως 99· δεκαδική στρογγυλοποιείται προς τα πάνω (§4.3.2.1)",IF(NOT(ISNUMBER(H20)),"ΛΑΘΟΣ: λείπει η τιμή της φόρμας",IF(OR(ABS(H20*100-ROUND(H20*100,0))&gt;0.000001,ROUND(H20*100,0)&lt;&gt;ROUND(G20*100,0)),"ΛΑΘΟΣ: η τιμή της φόρμας δεν είναι τιμή αναφοράς × (1 − έκπτωση) με 2 δεκαδικά (§4.3.2.1)",IF(NOT(ISNUMBER(I20)),"ΛΑΘΟΣ: λείπει η τιμή του Υποδείγματος",IF(ROUND(I20*100,0)&lt;&gt;ROUND(H20*100,0),"ΛΑΘΟΣ: το Υπόδειγμα δεν συμφωνεί με τη φόρμα (§4.3.2.1)",IF(NOT(AND(ISNUMBER(J20),J20=INT(J20),J20&gt;=1)),"ΛΑΘΟΣ: η σειρά προτεραιότητας πρέπει να είναι ακέραιος από 1 και πάνω (§4.3.2.1)",IF(COUNTIF($J$6:$J$20,J20)&gt;1,"ΛΑΘΟΣ: ίδια σειρά προτεραιότητας σε δύο γραμμές",IF(COUNTIF($B$6:$B$20,B20)&gt;1,"ΛΑΘΟΣ: το ίδιο δρομολόγιο δύο φορές",IF(AND(D20&lt;&gt;"",COUNTIFS($D$6:$D$20,D20,$F$6:$F$20,"&lt;&gt;"&amp;F20)&gt;0),"ΛΑΘΟΣ: στην ίδια ομάδα η έκπτωση πρέπει να είναι ίδια (§4.3.2.1)","OK"))))))))))))</f>
        <v/>
      </c>
    </row>
    <row r="23">
      <c r="A23" t="inlineStr">
        <is>
          <t>Γραμμές προσφοράς</t>
        </is>
      </c>
      <c r="E23" s="18">
        <f>COUNTIF(B6:B20,"?*")</f>
        <v/>
      </c>
      <c r="F23" t="inlineStr"/>
    </row>
    <row r="24">
      <c r="A24" t="inlineStr">
        <is>
          <t>Γραμμές με λάθος</t>
        </is>
      </c>
      <c r="E24" s="18">
        <f>COUNTIF(M6:M20,"ΛΑΘΟΣ*")</f>
        <v/>
      </c>
      <c r="F24" t="inlineStr"/>
    </row>
    <row r="25">
      <c r="A25" t="inlineStr">
        <is>
          <t>Εγγύηση συμμετοχής: ελάχιστο ποσό (€)</t>
        </is>
      </c>
      <c r="E25" s="20">
        <f>IF(E23=0,"",ROUNDUP(ROUND(ROUND(SUM(L6:L20)*100,0)*gp_rate,6),0)/100)</f>
        <v/>
      </c>
      <c r="F25" t="inlineStr">
        <is>
          <t>0,2% του συνολικού προϋπολογισμού των δρομολογίων της προσφοράς, χωρίς ΦΠΑ και προαίρεση (§4.3.1.2)</t>
        </is>
      </c>
    </row>
    <row r="26">
      <c r="A26" t="inlineStr">
        <is>
          <t>Ποσό της εγγυητικής που έβγαλε ο πελάτης (€)</t>
        </is>
      </c>
      <c r="E26" s="13" t="n"/>
      <c r="F26" t="inlineStr"/>
    </row>
    <row r="27">
      <c r="A27" t="inlineStr">
        <is>
          <t>Η εγγυητική λήγει στις</t>
        </is>
      </c>
      <c r="E27" s="6" t="n"/>
      <c r="F27" t="inlineStr"/>
    </row>
    <row r="28">
      <c r="A28" t="inlineStr">
        <is>
          <t>Είδος εγγυητικής</t>
        </is>
      </c>
      <c r="E28" s="5" t="n"/>
      <c r="F28" t="inlineStr">
        <is>
          <t>Έντυπη: το πρωτότυπο φτάνει με ευθύνη του πελάτη πριν την αποσφράγιση, αλλιώς η προσφορά απορρίπτεται (§4.3.1.2)</t>
        </is>
      </c>
    </row>
    <row r="29">
      <c r="A29" t="inlineStr">
        <is>
          <t>Έλεγχος εγγύησης</t>
        </is>
      </c>
      <c r="E29" s="19">
        <f>IF(E23=0,"",IF(OR(NOT(ISNUMBER(E26)),NOT(ISNUMBER(E27)),E28=""),"ΛΕΙΠΟΥΝ ΣΤΟΙΧΕΙΑ",IF(E26&lt;E25,"ΛΑΘΟΣ: ποσό κάτω από το ελάχιστο (§4.3.1.2)",IF(NOT(ISNUMBER(guar_p_until)),"ΛΕΙΠΕΙ Η ΠΡΟΘΕΣΜΙΑ (φύλλο Πρόσκληση)",IF(E27&lt;guar_p_until,"ΛΑΘΟΣ: λήγει νωρίτερα από όσο πρέπει (§4.3.1.2, §4.4.1)",IF(E28="ΕΝΤΥΠΗ","OK: το πρωτότυπο πρέπει να φτάσει πριν την αποσφράγιση","OK"))))))</f>
        <v/>
      </c>
    </row>
    <row r="30">
      <c r="A30" s="8" t="inlineStr">
        <is>
          <t>Έλεγχοι με το μάτι (ΝΑΙ μόνο αν το είδες)</t>
        </is>
      </c>
    </row>
    <row r="31" ht="30" customHeight="1">
      <c r="A31" s="2" t="inlineStr">
        <is>
          <t>Κάθε όχημα χωράει τους μαθητές του δρομολογίου: στήλη «ΕΛΑΧΙΣΤΗ ΔΥΝΑΜΙΚΟΤΗΤΑ ΟΧΗΜΑΤΟΣ» του Παραρτήματος Ι, ή «ΑΡΙΘΜΟΣ ΜΕΤΑΦΕΡΟΜΕΝΩΝ ΜΑΘΗΤΩΝ» αν λείπει (έτσι στις προσκλήσεις του 2026)</t>
        </is>
      </c>
      <c r="E31" s="5" t="n"/>
      <c r="F31" t="inlineStr">
        <is>
          <t>§4.3.2.1</t>
        </is>
      </c>
    </row>
    <row r="32" ht="30" customHeight="1">
      <c r="A32" s="2" t="inlineStr">
        <is>
          <t>Όχημα σε περισσότερα δρομολόγια: σε διαφορετικές λειτουργικές ζώνες, γραμμένο στις «Παρατηρήσεις» της φόρμας</t>
        </is>
      </c>
      <c r="E32" s="5" t="n"/>
      <c r="F32" t="inlineStr">
        <is>
          <t>§4.3.2.1</t>
        </is>
      </c>
    </row>
    <row r="33" ht="30" customHeight="1">
      <c r="A33" s="2" t="inlineStr">
        <is>
          <t>Ομάδα δρομολογίων: η προσφορά καλύπτει όλα τα δρομολόγια της ομάδας και τα ελάχιστα οχήματα που ζητά η πρόσκληση</t>
        </is>
      </c>
      <c r="E33" s="5" t="n"/>
      <c r="F33" t="inlineStr">
        <is>
          <t>§4.3.2.1</t>
        </is>
      </c>
    </row>
    <row r="34" ht="30" customHeight="1">
      <c r="A34" s="2" t="inlineStr">
        <is>
          <t>Στο Υπόδειγμα η έκπτωση είναι γραμμένη και ολογράφως, ίδια με τον αριθμό</t>
        </is>
      </c>
      <c r="E34" s="5" t="n"/>
      <c r="F34" t="inlineStr">
        <is>
          <t>Υπόδειγμα· §4.3.2.3 β</t>
        </is>
      </c>
    </row>
    <row r="35" ht="30" customHeight="1">
      <c r="A35" s="2" t="inlineStr">
        <is>
          <t>Το Υπόδειγμα είναι υπογεγραμμένο από τον πελάτη</t>
        </is>
      </c>
      <c r="E35" s="5" t="n"/>
      <c r="F35" t="inlineStr">
        <is>
          <t>§4.3.2.1</t>
        </is>
      </c>
    </row>
    <row r="36" ht="30" customHeight="1">
      <c r="A36" s="2" t="inlineStr">
        <is>
          <t>Καμία εναλλακτική προσφορά, κανένας όρος ή αίρεση, κανένας όρος αναπροσαρμογής, μία μόνο προσφορά</t>
        </is>
      </c>
      <c r="E36" s="5" t="n"/>
      <c r="F36" t="inlineStr">
        <is>
          <t>§4.4.2 δ, ε, ζ, η</t>
        </is>
      </c>
    </row>
    <row r="37" ht="30" customHeight="1">
      <c r="A37" s="2" t="inlineStr">
        <is>
          <t>Η ισχύς της προσφοράς δεν είναι μικρότερη από 12 μήνες</t>
        </is>
      </c>
      <c r="E37" s="5" t="n"/>
      <c r="F37" t="inlineStr">
        <is>
          <t>§4.4.1</t>
        </is>
      </c>
    </row>
    <row r="39">
      <c r="A39" s="8" t="inlineStr">
        <is>
          <t>Μπορεί να υποβάλει ο πελάτης;</t>
        </is>
      </c>
      <c r="E39" s="22">
        <f>IF(AND(E23&gt;0,E24=0,LEFT(E29,2)="OK",COUNTIF(E31:E37,"ΝΑΙ")+COUNTIF(E31:E37,"ΔΕΝ ΙΣΧΥΕΙ")=7,docs_offer_open=0),"ΝΑΙ: όλοι οι έλεγχοι καθαροί","ΟΧΙ ΑΚΟΜΑ")</f>
        <v/>
      </c>
    </row>
    <row r="40">
      <c r="A40" t="inlineStr">
        <is>
          <t>Τι μένει</t>
        </is>
      </c>
      <c r="E40" s="19">
        <f>"γραμμές με λάθος: "&amp;E24&amp;" · εγγύηση: "&amp;IF(LEFT(E29,2)="OK","OK",IF(E29="","καμία γραμμή",E29))&amp;" · έλεγχοι με το μάτι ανοιχτοί: "&amp;(7-COUNTIF(E31:E37,"ΝΑΙ")-COUNTIF(E31:E37,"ΔΕΝ ΙΣΧΥΕΙ"))&amp;" · έγγραφα Β4–Β5 ανοιχτά: "&amp;docs_offer_open</f>
        <v/>
      </c>
    </row>
    <row r="42">
      <c r="A42" s="8" t="inlineStr">
        <is>
          <t>Ο πελάτης υπέβαλε στις (ημερομηνία που το επιβεβαίωσε)</t>
        </is>
      </c>
      <c r="E42" s="6" t="n"/>
      <c r="F42" t="inlineStr">
        <is>
          <t>Gate του Βήματος 4: τουλάχιστον ένας κύκλος με ημερομηνία υποβολής (plan §6)</t>
        </is>
      </c>
    </row>
    <row r="43">
      <c r="A43" s="8" t="inlineStr">
        <is>
          <t>Αποτέλεσμα</t>
        </is>
      </c>
      <c r="E43" s="5" t="n"/>
      <c r="F43" t="inlineStr">
        <is>
          <t>ΧΩΡΙΣ ΠΡΟΣΦΟΡΑ: ο πελάτης είπε ΟΧΙ σε όλα μετά το go/no-go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22">
    <mergeCell ref="A23:D23"/>
    <mergeCell ref="A35:D35"/>
    <mergeCell ref="A29:D29"/>
    <mergeCell ref="E40:M40"/>
    <mergeCell ref="A43:D43"/>
    <mergeCell ref="E39:I39"/>
    <mergeCell ref="A28:D28"/>
    <mergeCell ref="A40:D40"/>
    <mergeCell ref="E29:I29"/>
    <mergeCell ref="A31:D31"/>
    <mergeCell ref="A34:D34"/>
    <mergeCell ref="A39:D39"/>
    <mergeCell ref="A24:D24"/>
    <mergeCell ref="A36:D36"/>
    <mergeCell ref="A25:D25"/>
    <mergeCell ref="A37:D37"/>
    <mergeCell ref="A27:D27"/>
    <mergeCell ref="A26:D26"/>
    <mergeCell ref="A33:D33"/>
    <mergeCell ref="A42:D42"/>
    <mergeCell ref="A2:M2"/>
    <mergeCell ref="A32:D32"/>
  </mergeCells>
  <conditionalFormatting sqref="M6:M20">
    <cfRule type="expression" priority="1" dxfId="1">
      <formula>LEFT(M6,5)="ΛΑΘΟΣ"</formula>
    </cfRule>
    <cfRule type="expression" priority="2" dxfId="2">
      <formula>M6="OK"</formula>
    </cfRule>
  </conditionalFormatting>
  <conditionalFormatting sqref="E29">
    <cfRule type="expression" priority="3" dxfId="2">
      <formula>LEFT(E29,2)="OK"</formula>
    </cfRule>
    <cfRule type="expression" priority="4" dxfId="1">
      <formula>AND(E29&lt;&gt;"",LEFT(E29,2)&lt;&gt;"OK")</formula>
    </cfRule>
  </conditionalFormatting>
  <conditionalFormatting sqref="E39">
    <cfRule type="expression" priority="5" dxfId="2">
      <formula>LEFT(E39,3)="ΝΑΙ"</formula>
    </cfRule>
    <cfRule type="expression" priority="6" dxfId="1">
      <formula>LEFT(E39,3)="ΟΧΙ"</formula>
    </cfRule>
  </conditionalFormatting>
  <dataValidations count="10">
    <dataValidation sqref="F6:F20" showDropDown="0" showInputMessage="0" showErrorMessage="0" allowBlank="0" errorTitle="Έκπτωση" error="Ακέραια έκπτωση από 0 ως 99· δεκαδική στρογγυλοποιείται προς τα πάνω (§4.3.2.1)" type="whole" errorStyle="warning" operator="between">
      <formula1>0</formula1>
      <formula2>99</formula2>
    </dataValidation>
    <dataValidation sqref="E28" showDropDown="0" showInputMessage="0" showErrorMessage="0" allowBlank="1" type="list" errorStyle="stop">
      <formula1>"ΗΛΕΚΤΡΟΝΙΚΗ,ΕΝΤΥΠΗ"</formula1>
    </dataValidation>
    <dataValidation sqref="E31" showDropDown="0" showInputMessage="0" showErrorMessage="0" allowBlank="1" type="list" errorStyle="stop">
      <formula1>"ΝΑΙ,ΟΧΙ"</formula1>
    </dataValidation>
    <dataValidation sqref="E32" showDropDown="0" showInputMessage="0" showErrorMessage="0" allowBlank="1" type="list" errorStyle="stop">
      <formula1>"ΝΑΙ,ΟΧΙ,ΔΕΝ ΙΣΧΥΕΙ"</formula1>
    </dataValidation>
    <dataValidation sqref="E33" showDropDown="0" showInputMessage="0" showErrorMessage="0" allowBlank="1" type="list" errorStyle="stop">
      <formula1>"ΝΑΙ,ΟΧΙ,ΔΕΝ ΙΣΧΥΕΙ"</formula1>
    </dataValidation>
    <dataValidation sqref="E34" showDropDown="0" showInputMessage="0" showErrorMessage="0" allowBlank="1" type="list" errorStyle="stop">
      <formula1>"ΝΑΙ,ΟΧΙ"</formula1>
    </dataValidation>
    <dataValidation sqref="E35" showDropDown="0" showInputMessage="0" showErrorMessage="0" allowBlank="1" type="list" errorStyle="stop">
      <formula1>"ΝΑΙ,ΟΧΙ"</formula1>
    </dataValidation>
    <dataValidation sqref="E36" showDropDown="0" showInputMessage="0" showErrorMessage="0" allowBlank="1" type="list" errorStyle="stop">
      <formula1>"ΝΑΙ,ΟΧΙ"</formula1>
    </dataValidation>
    <dataValidation sqref="E37" showDropDown="0" showInputMessage="0" showErrorMessage="0" allowBlank="1" type="list" errorStyle="stop">
      <formula1>"ΝΑΙ,ΟΧΙ"</formula1>
    </dataValidation>
    <dataValidation sqref="E43" showDropDown="0" showInputMessage="0" showErrorMessage="0" allowBlank="1" type="list" errorStyle="stop">
      <formula1>"ΑΝΑΜΟΝΗ,ΠΡΟΣΩΡΙΝΟΣ ΑΝΑΔΟΧΟΣ,ΔΕΝ ΚΕΡΔΙΣΕ,ΑΠΟΡΡΙΦΘΗΚΕ,ΧΩΡΙΣ ΠΡΟΣΦΟΡΑ"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46" customWidth="1" min="3" max="3"/>
    <col width="11" customWidth="1" min="4" max="4"/>
    <col width="9" customWidth="1" min="5" max="5"/>
    <col width="30" customWidth="1" min="6" max="6"/>
    <col width="12" customWidth="1" min="7" max="7"/>
    <col width="12" customWidth="1" min="8" max="8"/>
    <col width="16" customWidth="1" min="9" max="9"/>
    <col width="16" customWidth="1" min="10" max="10"/>
    <col width="12" customWidth="1" min="11" max="11"/>
    <col width="18" customWidth="1" min="12" max="12"/>
  </cols>
  <sheetData>
    <row r="1">
      <c r="A1" s="3" t="inlineStr">
        <is>
          <t>Έγγραφα της Φάσης Β: μόνο κατάσταση και ημερομηνίες</t>
        </is>
      </c>
    </row>
    <row r="2" ht="45" customHeight="1">
      <c r="A2" s="2" t="inlineStr">
        <is>
          <t>Κανένα αρχείο, όνομα ή περιεχόμενο. Για το ποινικό μητρώο μόνο η ημερομηνία έκδοσης, για το ιατρικό του συνοδού μόνο η λήξη (docs/architecture.md AD5). Ισχύει: κενό = ΝΑΙ· γράψε ΟΧΙ μόνο αν το έγγραφο δεν αφορά τον πελάτη. Για δεύτερο όχημα, οδηγό ή συνοδό αντίγραψε τις γραμμές τους.</t>
        </is>
      </c>
    </row>
    <row r="3">
      <c r="A3" t="inlineStr">
        <is>
          <t>Ανοιχτά (όχι SATISFIED): Β4–Β5, πριν την προσφορά</t>
        </is>
      </c>
      <c r="D3" s="19">
        <f>COUNTIFS($A$6:$A$29,"Β4",$J$6:$J$29,"&lt;&gt;SATISFIED",$J$6:$J$29,"&lt;&gt;ΔΕΝ ΙΣΧΥΕΙ")+COUNTIFS($A$6:$A$29,"Β5",$J$6:$J$29,"&lt;&gt;SATISFIED",$J$6:$J$29,"&lt;&gt;ΔΕΝ ΙΣΧΥΕΙ")</f>
        <v/>
      </c>
      <c r="E3" t="inlineStr">
        <is>
          <t>Β9, προσωρινός ανάδοχος:</t>
        </is>
      </c>
      <c r="F3" s="19">
        <f>COUNTIFS($A$6:$A$29,"Β9",$J$6:$J$29,"&lt;&gt;SATISFIED",$J$6:$J$29,"&lt;&gt;ΔΕΝ ΙΣΧΥΕΙ")</f>
        <v/>
      </c>
      <c r="G3" t="inlineStr">
        <is>
          <t>Β10, σύμβαση:</t>
        </is>
      </c>
      <c r="H3" s="19">
        <f>COUNTIFS($A$6:$A$29,"Β10",$J$6:$J$29,"&lt;&gt;SATISFIED",$J$6:$J$29,"&lt;&gt;ΔΕΝ ΙΣΧΥΕΙ")</f>
        <v/>
      </c>
    </row>
    <row r="5" ht="45" customHeight="1">
      <c r="A5" s="4" t="inlineStr">
        <is>
          <t>Στάδιο (sop.md)</t>
        </is>
      </c>
      <c r="B5" s="4" t="inlineStr">
        <is>
          <t>R (requirements.csv)</t>
        </is>
      </c>
      <c r="C5" s="4" t="inlineStr">
        <is>
          <t>Τι</t>
        </is>
      </c>
      <c r="D5" s="4" t="inlineStr">
        <is>
          <t>Για</t>
        </is>
      </c>
      <c r="E5" s="4" t="inlineStr">
        <is>
          <t>Ισχύει (ΝΑΙ/ΟΧΙ)</t>
        </is>
      </c>
      <c r="F5" s="4" t="inlineStr">
        <is>
          <t>Κανόνας</t>
        </is>
      </c>
      <c r="G5" s="4" t="inlineStr">
        <is>
          <t>Έκδοση</t>
        </is>
      </c>
      <c r="H5" s="4" t="inlineStr">
        <is>
          <t>Λήξη</t>
        </is>
      </c>
      <c r="I5" s="4" t="inlineStr">
        <is>
          <t>Κατάσταση με το μάτι</t>
        </is>
      </c>
      <c r="J5" s="4" t="inlineStr">
        <is>
          <t>Κατάσταση</t>
        </is>
      </c>
      <c r="K5" s="4" t="inlineStr">
        <is>
          <t>Ελέγχθηκε</t>
        </is>
      </c>
      <c r="L5" s="4" t="inlineStr">
        <is>
          <t>§</t>
        </is>
      </c>
    </row>
    <row r="6" ht="30" customHeight="1">
      <c r="A6" s="2" t="inlineStr">
        <is>
          <t>Β4</t>
        </is>
      </c>
      <c r="B6" s="2" t="inlineStr">
        <is>
          <t>R1</t>
        </is>
      </c>
      <c r="C6" s="2" t="inlineStr">
        <is>
          <t>Ψηφιακή υπογραφή του πελάτη</t>
        </is>
      </c>
      <c r="D6" s="2" t="inlineStr"/>
      <c r="E6" s="5" t="n"/>
      <c r="F6" s="2" t="inlineStr">
        <is>
          <t>σε ισχύ την προθεσμία της προσφοράς</t>
        </is>
      </c>
      <c r="H6" s="6" t="n"/>
      <c r="J6" s="19">
        <f>IF(E6="ΟΧΙ","ΔΕΝ ΙΣΧΥΕΙ",IF(OR(NOT(ISNUMBER(H6)),NOT(ISNUMBER(deadline))),"UNKNOWN",IF(H6&gt;=deadline,"SATISFIED","NOT_SATISFIED")))</f>
        <v/>
      </c>
      <c r="K6" s="6" t="n"/>
      <c r="L6" t="inlineStr">
        <is>
          <t>§3.2.1</t>
        </is>
      </c>
    </row>
    <row r="7" ht="30" customHeight="1">
      <c r="A7" s="2" t="inlineStr">
        <is>
          <t>Β4</t>
        </is>
      </c>
      <c r="B7" s="2" t="inlineStr">
        <is>
          <t>R8</t>
        </is>
      </c>
      <c r="C7" s="2" t="inlineStr">
        <is>
          <t>Εγγύηση συμμετοχής 0,2%</t>
        </is>
      </c>
      <c r="D7" s="2" t="inlineStr"/>
      <c r="E7" s="5" t="n"/>
      <c r="F7" s="2" t="inlineStr">
        <is>
          <t>ποσό, λήξη και είδος στο φύλλο Προσφορά</t>
        </is>
      </c>
      <c r="J7" s="19">
        <f>IF(E7="ΟΧΙ","ΔΕΝ ΙΣΧΥΕΙ",IF(offer_guarantee_check="","UNKNOWN",IF(LEFT(offer_guarantee_check,2)="OK","SATISFIED",IF(LEFT(offer_guarantee_check,5)="ΛΑΘΟΣ","NOT_SATISFIED","UNKNOWN"))))</f>
        <v/>
      </c>
      <c r="K7" s="6" t="n"/>
      <c r="L7" t="inlineStr">
        <is>
          <t>§4.3.1.2</t>
        </is>
      </c>
    </row>
    <row r="8" ht="30" customHeight="1">
      <c r="A8" s="2" t="inlineStr">
        <is>
          <t>Β4</t>
        </is>
      </c>
      <c r="B8" s="2" t="inlineStr">
        <is>
          <t>R9</t>
        </is>
      </c>
      <c r="C8" s="2" t="inlineStr">
        <is>
          <t>Υπεύθυνη δήλωση: δρομολόγια, πινακίδες, δυναμικότητα, ζώνες ασφαλείας</t>
        </is>
      </c>
      <c r="D8" s="2" t="inlineStr"/>
      <c r="E8" s="5" t="n"/>
      <c r="F8" s="2" t="inlineStr">
        <is>
          <t>υπογραφή από την επομένη της πρόσκλησης ως την προθεσμία</t>
        </is>
      </c>
      <c r="G8" s="6" t="n"/>
      <c r="J8" s="19">
        <f>IF(E8="ΟΧΙ","ΔΕΝ ΙΣΧΥΕΙ",IF(OR(NOT(ISNUMBER(G8)),NOT(ISNUMBER(inv_date)),NOT(ISNUMBER(deadline))),"UNKNOWN",IF(AND(G8&gt;inv_date,G8&lt;=deadline),"SATISFIED","NOT_SATISFIED")))</f>
        <v/>
      </c>
      <c r="K8" s="6" t="n"/>
      <c r="L8" t="inlineStr">
        <is>
          <t>§4.3.1.1</t>
        </is>
      </c>
    </row>
    <row r="9" ht="30" customHeight="1">
      <c r="A9" s="2" t="inlineStr">
        <is>
          <t>Β4</t>
        </is>
      </c>
      <c r="B9" s="2" t="inlineStr">
        <is>
          <t>R10</t>
        </is>
      </c>
      <c r="C9" s="2" t="inlineStr">
        <is>
          <t>Υπεύθυνη δήλωση συναίνεσης συνιδιοκτήτη, με γνήσιο υπογραφής (αν υπάρχει συνιδιοκτησία)</t>
        </is>
      </c>
      <c r="D9" s="2" t="inlineStr">
        <is>
          <t>όχημα 1</t>
        </is>
      </c>
      <c r="E9" s="5" t="n"/>
      <c r="F9" s="2" t="inlineStr">
        <is>
          <t>υπογραφή από την επομένη της πρόσκλησης ως την προθεσμία</t>
        </is>
      </c>
      <c r="G9" s="6" t="n"/>
      <c r="J9" s="19">
        <f>IF(E9="ΟΧΙ","ΔΕΝ ΙΣΧΥΕΙ",IF(OR(NOT(ISNUMBER(G9)),NOT(ISNUMBER(inv_date)),NOT(ISNUMBER(deadline))),"UNKNOWN",IF(AND(G9&gt;inv_date,G9&lt;=deadline),"SATISFIED","NOT_SATISFIED")))</f>
        <v/>
      </c>
      <c r="K9" s="6" t="n"/>
      <c r="L9" t="inlineStr">
        <is>
          <t>§4.3.1.1</t>
        </is>
      </c>
    </row>
    <row r="10" ht="30" customHeight="1">
      <c r="A10" s="2" t="inlineStr">
        <is>
          <t>Β4</t>
        </is>
      </c>
      <c r="B10" s="2" t="inlineStr">
        <is>
          <t>R24</t>
        </is>
      </c>
      <c r="C10" s="2" t="inlineStr">
        <is>
          <t>Μισθωτήριο ή παραχωρητήριο για όλη τη σύμβαση (αν το όχημα δεν ανήκει στον πελάτη)</t>
        </is>
      </c>
      <c r="D10" s="2" t="inlineStr">
        <is>
          <t>όχημα 1</t>
        </is>
      </c>
      <c r="E10" s="5" t="n"/>
      <c r="F10" s="2" t="inlineStr">
        <is>
          <t>με το μάτι</t>
        </is>
      </c>
      <c r="I10" s="5" t="n"/>
      <c r="J10" s="19">
        <f>IF(E10="ΟΧΙ","ΔΕΝ ΙΣΧΥΕΙ",IF(I10="","UNKNOWN",I10))</f>
        <v/>
      </c>
      <c r="K10" s="6" t="n"/>
      <c r="L10" t="inlineStr">
        <is>
          <t>§4.3.1.1</t>
        </is>
      </c>
    </row>
    <row r="11" ht="30" customHeight="1">
      <c r="A11" s="2" t="inlineStr">
        <is>
          <t>Β5</t>
        </is>
      </c>
      <c r="B11" s="2" t="inlineStr">
        <is>
          <t>R11</t>
        </is>
      </c>
      <c r="C11" s="2" t="inlineStr">
        <is>
          <t>Υπόδειγμα οικονομικής προσφοράς και φόρμα ΕΣΗΔΗΣ</t>
        </is>
      </c>
      <c r="D11" s="2" t="inlineStr"/>
      <c r="E11" s="5" t="n"/>
      <c r="F11" s="2" t="inlineStr">
        <is>
          <t>όλες οι γραμμές του φύλλου Προσφορά OK</t>
        </is>
      </c>
      <c r="J11" s="19">
        <f>IF(E11="ΟΧΙ","ΔΕΝ ΙΣΧΥΕΙ",IF(offer_lines=0,"UNKNOWN",IF(offer_errors=0,"SATISFIED","NOT_SATISFIED")))</f>
        <v/>
      </c>
      <c r="K11" s="6" t="n"/>
      <c r="L11" t="inlineStr">
        <is>
          <t>§4.3.2.1</t>
        </is>
      </c>
    </row>
    <row r="12" ht="30" customHeight="1">
      <c r="A12" s="2" t="inlineStr">
        <is>
          <t>Β9</t>
        </is>
      </c>
      <c r="B12" s="2" t="inlineStr">
        <is>
          <t>R4</t>
        </is>
      </c>
      <c r="C12" s="2" t="inlineStr">
        <is>
          <t>Υπεύθυνη δήλωση μη ρωσικής εμπλοκής</t>
        </is>
      </c>
      <c r="D12" s="2" t="inlineStr"/>
      <c r="E12" s="5" t="n"/>
      <c r="F12" s="2" t="inlineStr">
        <is>
          <t>με το μάτι</t>
        </is>
      </c>
      <c r="I12" s="5" t="n"/>
      <c r="J12" s="19">
        <f>IF(E12="ΟΧΙ","ΔΕΝ ΙΣΧΥΕΙ",IF(I12="","UNKNOWN",I12))</f>
        <v/>
      </c>
      <c r="K12" s="6" t="n"/>
      <c r="L12" t="inlineStr">
        <is>
          <t>§5.3.2 στ</t>
        </is>
      </c>
    </row>
    <row r="13" ht="30" customHeight="1">
      <c r="A13" s="2" t="inlineStr">
        <is>
          <t>Β9</t>
        </is>
      </c>
      <c r="B13" s="2" t="inlineStr">
        <is>
          <t>R5</t>
        </is>
      </c>
      <c r="C13" s="2" t="inlineStr">
        <is>
          <t>Άδεια κυκλοφορίας</t>
        </is>
      </c>
      <c r="D13" s="2" t="inlineStr">
        <is>
          <t>όχημα 1</t>
        </is>
      </c>
      <c r="E13" s="5" t="n"/>
      <c r="F13" s="2" t="inlineStr">
        <is>
          <t>σε ισχύ την ημέρα υποβολής των δικαιολογητικών</t>
        </is>
      </c>
      <c r="H13" s="6" t="n"/>
      <c r="J13" s="19">
        <f>IF(E13="ΟΧΙ","ΔΕΝ ΙΣΧΥΕΙ",IF(OR(NOT(ISNUMBER(H13)),NOT(ISNUMBER(award_docs_date))),"UNKNOWN",IF(H13&gt;=award_docs_date,"SATISFIED","NOT_SATISFIED")))</f>
        <v/>
      </c>
      <c r="K13" s="6" t="n"/>
      <c r="L13" t="inlineStr">
        <is>
          <t>§5.3.2 Β.4.1 α</t>
        </is>
      </c>
    </row>
    <row r="14" ht="30" customHeight="1">
      <c r="A14" s="2" t="inlineStr">
        <is>
          <t>Β9</t>
        </is>
      </c>
      <c r="B14" s="2" t="inlineStr">
        <is>
          <t>R6</t>
        </is>
      </c>
      <c r="C14" s="2" t="inlineStr">
        <is>
          <t>Ασφαλιστήριο με επιβαίνοντες (και ανανέωση για όλη τη σύμβαση)</t>
        </is>
      </c>
      <c r="D14" s="2" t="inlineStr">
        <is>
          <t>όχημα 1</t>
        </is>
      </c>
      <c r="E14" s="5" t="n"/>
      <c r="F14" s="2" t="inlineStr">
        <is>
          <t>σε ισχύ την ημέρα υποβολής των δικαιολογητικών</t>
        </is>
      </c>
      <c r="H14" s="6" t="n"/>
      <c r="J14" s="19">
        <f>IF(E14="ΟΧΙ","ΔΕΝ ΙΣΧΥΕΙ",IF(OR(NOT(ISNUMBER(H14)),NOT(ISNUMBER(award_docs_date))),"UNKNOWN",IF(H14&gt;=award_docs_date,"SATISFIED","NOT_SATISFIED")))</f>
        <v/>
      </c>
      <c r="K14" s="6" t="n"/>
      <c r="L14" t="inlineStr">
        <is>
          <t>§5.3.2 Β.4.1 β, 7.6</t>
        </is>
      </c>
    </row>
    <row r="15" ht="30" customHeight="1">
      <c r="A15" s="2" t="inlineStr">
        <is>
          <t>Β9</t>
        </is>
      </c>
      <c r="B15" s="2" t="inlineStr">
        <is>
          <t>R7</t>
        </is>
      </c>
      <c r="C15" s="2" t="inlineStr">
        <is>
          <t>ΚΤΕΟ</t>
        </is>
      </c>
      <c r="D15" s="2" t="inlineStr">
        <is>
          <t>όχημα 1</t>
        </is>
      </c>
      <c r="E15" s="5" t="n"/>
      <c r="F15" s="2" t="inlineStr">
        <is>
          <t>σε ισχύ την ημέρα υποβολής των δικαιολογητικών</t>
        </is>
      </c>
      <c r="H15" s="6" t="n"/>
      <c r="J15" s="19">
        <f>IF(E15="ΟΧΙ","ΔΕΝ ΙΣΧΥΕΙ",IF(OR(NOT(ISNUMBER(H15)),NOT(ISNUMBER(award_docs_date))),"UNKNOWN",IF(H15&gt;=award_docs_date,"SATISFIED","NOT_SATISFIED")))</f>
        <v/>
      </c>
      <c r="K15" s="6" t="n"/>
      <c r="L15" t="inlineStr">
        <is>
          <t>§5.3.2 Β.4.1 γ</t>
        </is>
      </c>
    </row>
    <row r="16" ht="30" customHeight="1">
      <c r="A16" s="2" t="inlineStr">
        <is>
          <t>Β9</t>
        </is>
      </c>
      <c r="B16" s="2" t="inlineStr">
        <is>
          <t>R12</t>
        </is>
      </c>
      <c r="C16" s="2" t="inlineStr">
        <is>
          <t>Απόσπασμα ποινικού μητρώου (μόνο η ημερομηνία έκδοσης)</t>
        </is>
      </c>
      <c r="D16" s="2" t="inlineStr"/>
      <c r="E16" s="5" t="n"/>
      <c r="F16" s="2" t="inlineStr">
        <is>
          <t>έκδοση το πολύ 3 μήνες πριν την υποβολή</t>
        </is>
      </c>
      <c r="G16" s="6" t="n"/>
      <c r="J16" s="19">
        <f>IF(E16="ΟΧΙ","ΔΕΝ ΙΣΧΥΕΙ",IF(OR(NOT(ISNUMBER(G16)),NOT(ISNUMBER(award_docs_date))),"UNKNOWN",IF(AND(G16&gt;EDATE(award_docs_date,-3),G16&lt;=award_docs_date),"SATISFIED","NOT_SATISFIED")))</f>
        <v/>
      </c>
      <c r="K16" s="6" t="n"/>
      <c r="L16" t="inlineStr">
        <is>
          <t>§5.3.2 α1</t>
        </is>
      </c>
    </row>
    <row r="17" ht="30" customHeight="1">
      <c r="A17" s="2" t="inlineStr">
        <is>
          <t>Β9</t>
        </is>
      </c>
      <c r="B17" s="2" t="inlineStr">
        <is>
          <t>R13</t>
        </is>
      </c>
      <c r="C17" s="2" t="inlineStr">
        <is>
          <t>Φορολογική ενημερότητα</t>
        </is>
      </c>
      <c r="D17" s="2" t="inlineStr"/>
      <c r="E17" s="5" t="n"/>
      <c r="F17" s="2" t="inlineStr">
        <is>
          <t>σε ισχύ την ημέρα υποβολής των δικαιολογητικών</t>
        </is>
      </c>
      <c r="H17" s="6" t="n"/>
      <c r="J17" s="19">
        <f>IF(E17="ΟΧΙ","ΔΕΝ ΙΣΧΥΕΙ",IF(OR(NOT(ISNUMBER(H17)),NOT(ISNUMBER(award_docs_date))),"UNKNOWN",IF(H17&gt;=award_docs_date,"SATISFIED","NOT_SATISFIED")))</f>
        <v/>
      </c>
      <c r="K17" s="6" t="n"/>
      <c r="L17" t="inlineStr">
        <is>
          <t>§5.3.2 β.i</t>
        </is>
      </c>
    </row>
    <row r="18" ht="30" customHeight="1">
      <c r="A18" s="2" t="inlineStr">
        <is>
          <t>Β9</t>
        </is>
      </c>
      <c r="B18" s="2" t="inlineStr">
        <is>
          <t>R14</t>
        </is>
      </c>
      <c r="C18" s="2" t="inlineStr">
        <is>
          <t>Ασφαλιστική ενημερότητα</t>
        </is>
      </c>
      <c r="D18" s="2" t="inlineStr"/>
      <c r="E18" s="5" t="n"/>
      <c r="F18" s="2" t="inlineStr">
        <is>
          <t>σε ισχύ την ημέρα υποβολής των δικαιολογητικών</t>
        </is>
      </c>
      <c r="H18" s="6" t="n"/>
      <c r="J18" s="19">
        <f>IF(E18="ΟΧΙ","ΔΕΝ ΙΣΧΥΕΙ",IF(OR(NOT(ISNUMBER(H18)),NOT(ISNUMBER(award_docs_date))),"UNKNOWN",IF(H18&gt;=award_docs_date,"SATISFIED","NOT_SATISFIED")))</f>
        <v/>
      </c>
      <c r="K18" s="6" t="n"/>
      <c r="L18" t="inlineStr">
        <is>
          <t>§5.3.2 β.ii</t>
        </is>
      </c>
    </row>
    <row r="19" ht="30" customHeight="1">
      <c r="A19" s="2" t="inlineStr">
        <is>
          <t>Β9</t>
        </is>
      </c>
      <c r="B19" s="2" t="inlineStr">
        <is>
          <t>R15</t>
        </is>
      </c>
      <c r="C19" s="2" t="inlineStr">
        <is>
          <t>Ενιαίο Πιστοποιητικό Δικαστικής Φερεγγυότητας</t>
        </is>
      </c>
      <c r="D19" s="2" t="inlineStr"/>
      <c r="E19" s="5" t="n"/>
      <c r="F19" s="2" t="inlineStr">
        <is>
          <t>έκδοση το πολύ 3 μήνες πριν την υποβολή</t>
        </is>
      </c>
      <c r="G19" s="6" t="n"/>
      <c r="J19" s="19">
        <f>IF(E19="ΟΧΙ","ΔΕΝ ΙΣΧΥΕΙ",IF(OR(NOT(ISNUMBER(G19)),NOT(ISNUMBER(award_docs_date))),"UNKNOWN",IF(AND(G19&gt;EDATE(award_docs_date,-3),G19&lt;=award_docs_date),"SATISFIED","NOT_SATISFIED")))</f>
        <v/>
      </c>
      <c r="K19" s="6" t="n"/>
      <c r="L19" t="inlineStr">
        <is>
          <t>§5.3.2 γ.i</t>
        </is>
      </c>
    </row>
    <row r="20" ht="30" customHeight="1">
      <c r="A20" s="2" t="inlineStr">
        <is>
          <t>Β9</t>
        </is>
      </c>
      <c r="B20" s="2" t="inlineStr">
        <is>
          <t>R16</t>
        </is>
      </c>
      <c r="C20" s="2" t="inlineStr">
        <is>
          <t>Εκτύπωση «Στοιχεία Μητρώου/Επιχείρησης» από Taxisnet (πρόσφατη)</t>
        </is>
      </c>
      <c r="D20" s="2" t="inlineStr"/>
      <c r="E20" s="5" t="n"/>
      <c r="F20" s="2" t="inlineStr">
        <is>
          <t>με το μάτι</t>
        </is>
      </c>
      <c r="I20" s="5" t="n"/>
      <c r="J20" s="19">
        <f>IF(E20="ΟΧΙ","ΔΕΝ ΙΣΧΥΕΙ",IF(I20="","UNKNOWN",I20))</f>
        <v/>
      </c>
      <c r="K20" s="6" t="n"/>
      <c r="L20" t="inlineStr">
        <is>
          <t>§5.3.2 γ.iii</t>
        </is>
      </c>
    </row>
    <row r="21" ht="30" customHeight="1">
      <c r="A21" s="2" t="inlineStr">
        <is>
          <t>Β9</t>
        </is>
      </c>
      <c r="B21" s="2" t="inlineStr">
        <is>
          <t>R17</t>
        </is>
      </c>
      <c r="C21" s="2" t="inlineStr">
        <is>
          <t>Υπεύθυνες δηλώσεις: μη τελεσίδικης οφειλής, λοιπών λόγων 2.2.3.4, μη οριζόντιου αποκλεισμού</t>
        </is>
      </c>
      <c r="D21" s="2" t="inlineStr"/>
      <c r="E21" s="5" t="n"/>
      <c r="F21" s="2" t="inlineStr">
        <is>
          <t>με το μάτι</t>
        </is>
      </c>
      <c r="I21" s="5" t="n"/>
      <c r="J21" s="19">
        <f>IF(E21="ΟΧΙ","ΔΕΝ ΙΣΧΥΕΙ",IF(I21="","UNKNOWN",I21))</f>
        <v/>
      </c>
      <c r="K21" s="6" t="n"/>
      <c r="L21" t="inlineStr">
        <is>
          <t>§5.3.2 β.iii, δ, ε</t>
        </is>
      </c>
    </row>
    <row r="22" ht="30" customHeight="1">
      <c r="A22" s="2" t="inlineStr">
        <is>
          <t>Β9</t>
        </is>
      </c>
      <c r="B22" s="2" t="inlineStr">
        <is>
          <t>R18</t>
        </is>
      </c>
      <c r="C22" s="2" t="inlineStr">
        <is>
          <t>Πιστοποιητικό ΓΕΜΗ ή επιμελητηρίου, ή υπεύθυνη δήλωση μη υποχρέωσης (με την ειδική άδεια ΕΔΧ)</t>
        </is>
      </c>
      <c r="D22" s="2" t="inlineStr"/>
      <c r="E22" s="5" t="n"/>
      <c r="F22" s="2" t="inlineStr">
        <is>
          <t>έκδοση το πολύ 30 εργάσιμες πριν την υποβολή (χωρίς αργίες: αυστηρό)</t>
        </is>
      </c>
      <c r="G22" s="6" t="n"/>
      <c r="J22" s="19">
        <f>IF(E22="ΟΧΙ","ΔΕΝ ΙΣΧΥΕΙ",IF(OR(NOT(ISNUMBER(G22)),NOT(ISNUMBER(award_docs_date))),"UNKNOWN",IF(AND(G22&gt;=WORKDAY(award_docs_date,-29),G22&lt;=award_docs_date),"SATISFIED","NOT_SATISFIED")))</f>
        <v/>
      </c>
      <c r="K22" s="6" t="n"/>
      <c r="L22" t="inlineStr">
        <is>
          <t>§5.3.2 Β.2</t>
        </is>
      </c>
    </row>
    <row r="23" ht="30" customHeight="1">
      <c r="A23" s="2" t="inlineStr">
        <is>
          <t>Β9</t>
        </is>
      </c>
      <c r="B23" s="2" t="inlineStr">
        <is>
          <t>R19</t>
        </is>
      </c>
      <c r="C23" s="2" t="inlineStr">
        <is>
          <t>Πίνακας αντιστοίχισης δρομολογίου–πινακίδας, ψηφιακά υπογεγραμμένος</t>
        </is>
      </c>
      <c r="D23" s="2" t="inlineStr"/>
      <c r="E23" s="5" t="n"/>
      <c r="F23" s="2" t="inlineStr">
        <is>
          <t>με το μάτι</t>
        </is>
      </c>
      <c r="I23" s="5" t="n"/>
      <c r="J23" s="19">
        <f>IF(E23="ΟΧΙ","ΔΕΝ ΙΣΧΥΕΙ",IF(I23="","UNKNOWN",I23))</f>
        <v/>
      </c>
      <c r="K23" s="6" t="n"/>
      <c r="L23" t="inlineStr">
        <is>
          <t>§5.3.2 Β.4 δ</t>
        </is>
      </c>
    </row>
    <row r="24" ht="30" customHeight="1">
      <c r="A24" s="2" t="inlineStr">
        <is>
          <t>Β9</t>
        </is>
      </c>
      <c r="B24" s="2" t="inlineStr">
        <is>
          <t>R20</t>
        </is>
      </c>
      <c r="C24" s="2" t="inlineStr">
        <is>
          <t>Άδεια οδήγησης και ειδική άδεια οδήγησης ΕΔΧ (λήξη: η νωρίτερη)</t>
        </is>
      </c>
      <c r="D24" s="2" t="inlineStr">
        <is>
          <t>οδηγός 1</t>
        </is>
      </c>
      <c r="E24" s="5" t="n"/>
      <c r="F24" s="2" t="inlineStr">
        <is>
          <t>σε ισχύ την ημέρα υποβολής των δικαιολογητικών</t>
        </is>
      </c>
      <c r="H24" s="6" t="n"/>
      <c r="J24" s="19">
        <f>IF(E24="ΟΧΙ","ΔΕΝ ΙΣΧΥΕΙ",IF(OR(NOT(ISNUMBER(H24)),NOT(ISNUMBER(award_docs_date))),"UNKNOWN",IF(H24&gt;=award_docs_date,"SATISFIED","NOT_SATISFIED")))</f>
        <v/>
      </c>
      <c r="K24" s="6" t="n"/>
      <c r="L24" t="inlineStr">
        <is>
          <t>§5.3.2 Β.4.2 β</t>
        </is>
      </c>
    </row>
    <row r="25" ht="30" customHeight="1">
      <c r="A25" s="2" t="inlineStr">
        <is>
          <t>Β9</t>
        </is>
      </c>
      <c r="B25" s="2" t="inlineStr">
        <is>
          <t>R21</t>
        </is>
      </c>
      <c r="C25" s="2" t="inlineStr">
        <is>
          <t>Υπεύθυνη δήλωση οδηγού (αδικήματα της ΚΥΑ)</t>
        </is>
      </c>
      <c r="D25" s="2" t="inlineStr">
        <is>
          <t>οδηγός 1</t>
        </is>
      </c>
      <c r="E25" s="5" t="n"/>
      <c r="F25" s="2" t="inlineStr">
        <is>
          <t>με το μάτι</t>
        </is>
      </c>
      <c r="I25" s="5" t="n"/>
      <c r="J25" s="19">
        <f>IF(E25="ΟΧΙ","ΔΕΝ ΙΣΧΥΕΙ",IF(I25="","UNKNOWN",I25))</f>
        <v/>
      </c>
      <c r="K25" s="6" t="n"/>
      <c r="L25" t="inlineStr">
        <is>
          <t>§5.3.2 Β.4.2 γ</t>
        </is>
      </c>
    </row>
    <row r="26" ht="30" customHeight="1">
      <c r="A26" s="2" t="inlineStr">
        <is>
          <t>Β9</t>
        </is>
      </c>
      <c r="B26" s="2" t="inlineStr">
        <is>
          <t>R21</t>
        </is>
      </c>
      <c r="C26" s="2" t="inlineStr">
        <is>
          <t>Υπεύθυνη δήλωση συνοδού (αδικήματα της ΚΥΑ), αν το δρομολόγιο θέλει συνοδό</t>
        </is>
      </c>
      <c r="D26" s="2" t="inlineStr">
        <is>
          <t>συνοδός 1</t>
        </is>
      </c>
      <c r="E26" s="5" t="n"/>
      <c r="F26" s="2" t="inlineStr">
        <is>
          <t>με το μάτι</t>
        </is>
      </c>
      <c r="I26" s="5" t="n"/>
      <c r="J26" s="19">
        <f>IF(E26="ΟΧΙ","ΔΕΝ ΙΣΧΥΕΙ",IF(I26="","UNKNOWN",I26))</f>
        <v/>
      </c>
      <c r="K26" s="6" t="n"/>
      <c r="L26" t="inlineStr">
        <is>
          <t>§5.3.2 Β.4.2 γ</t>
        </is>
      </c>
    </row>
    <row r="27" ht="30" customHeight="1">
      <c r="A27" s="2" t="inlineStr">
        <is>
          <t>Β9</t>
        </is>
      </c>
      <c r="B27" s="2" t="inlineStr">
        <is>
          <t>R25</t>
        </is>
      </c>
      <c r="C27" s="2" t="inlineStr">
        <is>
          <t>Ιατρικό πιστοποιητικό υγείας συνοδού (μόνο η λήξη), αν το δρομολόγιο θέλει συνοδό</t>
        </is>
      </c>
      <c r="D27" s="2" t="inlineStr">
        <is>
          <t>συνοδός 1</t>
        </is>
      </c>
      <c r="E27" s="5" t="n"/>
      <c r="F27" s="2" t="inlineStr">
        <is>
          <t>σε ισχύ την ημέρα υποβολής των δικαιολογητικών</t>
        </is>
      </c>
      <c r="H27" s="6" t="n"/>
      <c r="J27" s="19">
        <f>IF(E27="ΟΧΙ","ΔΕΝ ΙΣΧΥΕΙ",IF(OR(NOT(ISNUMBER(H27)),NOT(ISNUMBER(award_docs_date))),"UNKNOWN",IF(H27&gt;=award_docs_date,"SATISFIED","NOT_SATISFIED")))</f>
        <v/>
      </c>
      <c r="K27" s="6" t="n"/>
      <c r="L27" t="inlineStr">
        <is>
          <t>§5.3.2 Β.4.2 α</t>
        </is>
      </c>
    </row>
    <row r="28" ht="30" customHeight="1">
      <c r="A28" s="2" t="inlineStr">
        <is>
          <t>Β10</t>
        </is>
      </c>
      <c r="B28" s="2" t="inlineStr">
        <is>
          <t>R22</t>
        </is>
      </c>
      <c r="C28" s="2" t="inlineStr">
        <is>
          <t>Εγγύηση καλής εκτέλεσης 4%</t>
        </is>
      </c>
      <c r="D28" s="2" t="inlineStr"/>
      <c r="E28" s="5" t="n"/>
      <c r="F28" s="2" t="inlineStr">
        <is>
          <t>λήξη τουλάχιστον 2 μήνες μετά τη λήξη της σύμβασης</t>
        </is>
      </c>
      <c r="H28" s="6" t="n"/>
      <c r="J28" s="19">
        <f>IF(E28="ΟΧΙ","ΔΕΝ ΙΣΧΥΕΙ",IF(OR(NOT(ISNUMBER(H28)),NOT(ISNUMBER(guar_g_until))),"UNKNOWN",IF(H28&gt;=guar_g_until,"SATISFIED","NOT_SATISFIED")))</f>
        <v/>
      </c>
      <c r="K28" s="6" t="n"/>
      <c r="L28" t="inlineStr">
        <is>
          <t>§6.2.1</t>
        </is>
      </c>
    </row>
    <row r="29" ht="30" customHeight="1">
      <c r="A29" s="2" t="inlineStr">
        <is>
          <t>Β10</t>
        </is>
      </c>
      <c r="B29" s="2" t="inlineStr">
        <is>
          <t>R26</t>
        </is>
      </c>
      <c r="C29" s="2" t="inlineStr">
        <is>
          <t>Πίνακας οχημάτων ανά δρομολόγιο, με οδηγό και συνοδό ανά όχημα</t>
        </is>
      </c>
      <c r="D29" s="2" t="inlineStr"/>
      <c r="E29" s="5" t="n"/>
      <c r="F29" s="2" t="inlineStr">
        <is>
          <t>με το μάτι</t>
        </is>
      </c>
      <c r="I29" s="5" t="n"/>
      <c r="J29" s="19">
        <f>IF(E29="ΟΧΙ","ΔΕΝ ΙΣΧΥΕΙ",IF(I29="","UNKNOWN",I29))</f>
        <v/>
      </c>
      <c r="K29" s="6" t="n"/>
      <c r="L29" t="inlineStr">
        <is>
          <t>§5.5</t>
        </is>
      </c>
    </row>
  </sheetData>
  <mergeCells count="2">
    <mergeCell ref="A2:L2"/>
    <mergeCell ref="A3:C3"/>
  </mergeCells>
  <conditionalFormatting sqref="J6:J29">
    <cfRule type="cellIs" priority="1" operator="equal" dxfId="2">
      <formula>"SATISFIED"</formula>
    </cfRule>
    <cfRule type="cellIs" priority="2" operator="equal" dxfId="1">
      <formula>"NOT_SATISFIED"</formula>
    </cfRule>
    <cfRule type="cellIs" priority="3" operator="equal" dxfId="3">
      <formula>"UNKNOWN"</formula>
    </cfRule>
  </conditionalFormatting>
  <dataValidations count="2">
    <dataValidation sqref="E6:E29" showDropDown="0" showInputMessage="0" showErrorMessage="0" allowBlank="1" type="list" errorStyle="stop">
      <formula1>"ΝΑΙ,ΟΧΙ"</formula1>
    </dataValidation>
    <dataValidation sqref="I6:I29" showDropDown="0" showInputMessage="0" showErrorMessage="0" allowBlank="1" type="list" errorStyle="stop">
      <formula1>"SATISFIED,NOT_SATISFIED,UNKNOWN"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Tenderer</dc:creator>
  <dc:title xmlns:dc="http://purl.org/dc/elements/1.1/">Concierge Phase B workbook</dc:title>
  <dcterms:created xmlns:dcterms="http://purl.org/dc/terms/" xmlns:xsi="http://www.w3.org/2001/XMLSchema-instance" xsi:type="dcterms:W3CDTF">2026-09-23T21:10:15Z</dcterms:created>
  <dcterms:modified xmlns:dcterms="http://purl.org/dc/terms/" xmlns:xsi="http://www.w3.org/2001/XMLSchema-instance" xsi:type="dcterms:W3CDTF">2026-09-23T21:10:16Z</dcterms:modified>
</cp:coreProperties>
</file>